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douglass/Dropbox/00 Independent work/--- 06 PAPER WRITING/2025-07 - 02 NCI1970-update/supp_data/"/>
    </mc:Choice>
  </mc:AlternateContent>
  <xr:revisionPtr revIDLastSave="0" documentId="8_{C6E9A5F5-4F9A-1C4D-807C-7BEC76674FB4}" xr6:coauthVersionLast="47" xr6:coauthVersionMax="47" xr10:uidLastSave="{00000000-0000-0000-0000-000000000000}"/>
  <bookViews>
    <workbookView xWindow="1480" yWindow="500" windowWidth="27900" windowHeight="20100" activeTab="4" xr2:uid="{5B0B8BDD-4999-EE4C-8661-9BEB7B79BFB7}"/>
  </bookViews>
  <sheets>
    <sheet name="NCI1970-meta - response rate" sheetId="10" r:id="rId1"/>
    <sheet name="NCI1970-meta - total responders" sheetId="9" r:id="rId2"/>
    <sheet name="NCI1970-meta - total patients" sheetId="5" r:id="rId3"/>
    <sheet name="NCI1970 - total patients" sheetId="4" r:id="rId4"/>
    <sheet name="drug-meta" sheetId="1" r:id="rId5"/>
    <sheet name="cancer-meta" sheetId="3" r:id="rId6"/>
    <sheet name="NCI 1955-70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0" i="1" l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272" i="3" l="1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" i="2"/>
  <c r="F8" i="1" l="1"/>
  <c r="F2" i="1"/>
  <c r="F9" i="1"/>
  <c r="F5" i="1"/>
  <c r="F7" i="1"/>
  <c r="F4" i="1"/>
  <c r="F3" i="1"/>
  <c r="F11" i="1"/>
  <c r="F12" i="1"/>
  <c r="F10" i="1"/>
  <c r="F6" i="1"/>
</calcChain>
</file>

<file path=xl/sharedStrings.xml><?xml version="1.0" encoding="utf-8"?>
<sst xmlns="http://schemas.openxmlformats.org/spreadsheetml/2006/main" count="3183" uniqueCount="174">
  <si>
    <t>ORR</t>
  </si>
  <si>
    <t>brca</t>
  </si>
  <si>
    <t>PUB-IDX</t>
  </si>
  <si>
    <t>OR</t>
  </si>
  <si>
    <t>TCGA</t>
  </si>
  <si>
    <t>total</t>
  </si>
  <si>
    <t>Doxorubicin</t>
  </si>
  <si>
    <t xml:space="preserve">DrugBank </t>
  </si>
  <si>
    <t>coad</t>
  </si>
  <si>
    <t>ov</t>
  </si>
  <si>
    <t>sarc</t>
  </si>
  <si>
    <t>tgct</t>
  </si>
  <si>
    <t>blca</t>
  </si>
  <si>
    <t>hnsc</t>
  </si>
  <si>
    <t>skcm</t>
  </si>
  <si>
    <t>mm</t>
  </si>
  <si>
    <t>kirc</t>
  </si>
  <si>
    <t>Vincristine</t>
  </si>
  <si>
    <t>Bleomycin</t>
  </si>
  <si>
    <t>Dacarbazine</t>
  </si>
  <si>
    <t>Hydroxyurea</t>
  </si>
  <si>
    <t>Azacitidine</t>
  </si>
  <si>
    <t>Camptothecin</t>
  </si>
  <si>
    <t>Methotrexate</t>
  </si>
  <si>
    <t>Cyclophosphamide</t>
  </si>
  <si>
    <t>Fluorouracil</t>
  </si>
  <si>
    <t>Mitomycin</t>
  </si>
  <si>
    <t>Lomustine</t>
  </si>
  <si>
    <t>Carmustine</t>
  </si>
  <si>
    <t>paad</t>
  </si>
  <si>
    <t>stad</t>
  </si>
  <si>
    <t>nhl</t>
  </si>
  <si>
    <t>nsclc</t>
  </si>
  <si>
    <t>NOTES</t>
  </si>
  <si>
    <t>Mechlorethamine</t>
  </si>
  <si>
    <t>hl</t>
  </si>
  <si>
    <t>prad</t>
  </si>
  <si>
    <t>cesc</t>
  </si>
  <si>
    <t>cll</t>
  </si>
  <si>
    <t>laml</t>
  </si>
  <si>
    <t>cml</t>
  </si>
  <si>
    <t>all</t>
  </si>
  <si>
    <t>ucec</t>
  </si>
  <si>
    <t>gbm</t>
  </si>
  <si>
    <t>rms</t>
  </si>
  <si>
    <t>nb</t>
  </si>
  <si>
    <t>wilm</t>
  </si>
  <si>
    <t>ewing</t>
  </si>
  <si>
    <t>rb</t>
  </si>
  <si>
    <t>Chlorambucil</t>
  </si>
  <si>
    <t>Melphalan</t>
  </si>
  <si>
    <t>lymph</t>
  </si>
  <si>
    <t>osarc</t>
  </si>
  <si>
    <t>Busulfan</t>
  </si>
  <si>
    <t>troph</t>
  </si>
  <si>
    <t>Mercaptopurine</t>
  </si>
  <si>
    <t>lihc</t>
  </si>
  <si>
    <t>esca</t>
  </si>
  <si>
    <t>Cytarabine</t>
  </si>
  <si>
    <t>Dactinomycin</t>
  </si>
  <si>
    <t>Plicamycin</t>
  </si>
  <si>
    <t>Vinblastine</t>
  </si>
  <si>
    <t>sts</t>
  </si>
  <si>
    <t>Procarbazine</t>
  </si>
  <si>
    <t>Daunorubicin</t>
  </si>
  <si>
    <t>coad-stad_1975_P2</t>
  </si>
  <si>
    <t>02 CARTER - blca_kirc_prad_tgct_1975</t>
  </si>
  <si>
    <t>Mithramycin</t>
  </si>
  <si>
    <t>Semustine</t>
  </si>
  <si>
    <t>Streptozotocin</t>
  </si>
  <si>
    <t>tcgt</t>
  </si>
  <si>
    <t>2 CARTER - blca_kirc_prad_tgct_1975</t>
  </si>
  <si>
    <t>02 CARTER - luad_1972_meta-CARTER</t>
  </si>
  <si>
    <t>2 CARTER - luad_1972_meta-CARTER</t>
  </si>
  <si>
    <t>02 CARTER - prad_1980_meta-CARTER</t>
  </si>
  <si>
    <t>Cisplatin</t>
  </si>
  <si>
    <t>Estramustine</t>
  </si>
  <si>
    <t>02 CARTER - stad_1974_meta-CARTER</t>
  </si>
  <si>
    <t>01 CTR2 - coad_1974_meta-CARTER</t>
  </si>
  <si>
    <t>Floxuridine</t>
  </si>
  <si>
    <t>Thioguanine</t>
  </si>
  <si>
    <t>Thiotepa</t>
  </si>
  <si>
    <t>1 CTR2 - coad_1974_meta-CARTER</t>
  </si>
  <si>
    <t>01 CTR4 - skcm_1974_meta-CARTER</t>
  </si>
  <si>
    <t>01 CTR5 - paad_1975_meta-CARTER</t>
  </si>
  <si>
    <t>01 CTR7 - brca_1976_meta-CARTER</t>
  </si>
  <si>
    <t>1 CTR7 - brca_1976_meta-CARTER</t>
  </si>
  <si>
    <t>01 CTR8 - cesc_1977_meta-CARTER</t>
  </si>
  <si>
    <t>blca_1985_meta_Article_</t>
  </si>
  <si>
    <t>esca_1995_meta-001</t>
  </si>
  <si>
    <t>Idarubicin</t>
  </si>
  <si>
    <t>Vindesine</t>
  </si>
  <si>
    <t>Etoposide</t>
  </si>
  <si>
    <t>Carboplatin</t>
  </si>
  <si>
    <t>Ifosfamide</t>
  </si>
  <si>
    <t>Paclitaxel</t>
  </si>
  <si>
    <t>kirc_1977_meta-001</t>
  </si>
  <si>
    <t>lihc_1985_meta-BOOK-p197</t>
  </si>
  <si>
    <t>ov_1985_meta-BOOK-p115</t>
  </si>
  <si>
    <t>Epirubicin</t>
  </si>
  <si>
    <t>paad_1981_meta-001</t>
  </si>
  <si>
    <t>paad_1981_meta-1990</t>
  </si>
  <si>
    <t>paad_1996_meta-001</t>
  </si>
  <si>
    <t>sarc_1988_meta-01</t>
  </si>
  <si>
    <t>doxorubicin_1973_P2-427_001</t>
  </si>
  <si>
    <t>00 CARTER - new drugs 1976</t>
  </si>
  <si>
    <t>Thiotepia</t>
  </si>
  <si>
    <t>0 CARTER - new drugs 1976</t>
  </si>
  <si>
    <t>00 Monotherapy_of_metastatic_breast_cancer</t>
  </si>
  <si>
    <t>Vinorelbine</t>
  </si>
  <si>
    <t>Docetaxel</t>
  </si>
  <si>
    <t>bleomycin_1973_meta_CARTER</t>
  </si>
  <si>
    <t>carboplatin_1985_meta_CARTER</t>
  </si>
  <si>
    <t>carm-lo-se-USTINE_1975_meta_CARTER</t>
  </si>
  <si>
    <t>docetaxel_1995_meta_001</t>
  </si>
  <si>
    <t>docetaxel_1995_meta_002</t>
  </si>
  <si>
    <t>docetaxel_1995_meta_003</t>
  </si>
  <si>
    <t>doxorubicin_1973_meta_001</t>
  </si>
  <si>
    <t>thca</t>
  </si>
  <si>
    <t>doxorubicin_1975_meta_CARTER</t>
  </si>
  <si>
    <t>leuk</t>
  </si>
  <si>
    <t>epirubicin_1986_meta_001</t>
  </si>
  <si>
    <t>etoposide_1982_SUBSUM-ABOVE</t>
  </si>
  <si>
    <t>sclc</t>
  </si>
  <si>
    <t>etoposide_1984_meta_001</t>
  </si>
  <si>
    <t>gemcitabine_1996_meta_001</t>
  </si>
  <si>
    <t>Gemcitabine</t>
  </si>
  <si>
    <t>gemcitabine_1997_meta_001</t>
  </si>
  <si>
    <t>gemcitabine_1997_meta_003</t>
  </si>
  <si>
    <t>ifosfamide_1986_meta_001</t>
  </si>
  <si>
    <t>paclitaxel_1994_meta_002</t>
  </si>
  <si>
    <t>paclitaxel_1994_meta_003</t>
  </si>
  <si>
    <t>topotecan_1999_meta_001</t>
  </si>
  <si>
    <t>Topotecan</t>
  </si>
  <si>
    <t>topotecan_1997_meta_001</t>
  </si>
  <si>
    <t>vindesine_1979_meta_001</t>
  </si>
  <si>
    <t>vindesine_1983_meta_001</t>
  </si>
  <si>
    <t>vindesine_1981_meta_001</t>
  </si>
  <si>
    <t>Cancer August Supplement</t>
  </si>
  <si>
    <t>Cancer</t>
  </si>
  <si>
    <t>Ann Int Med</t>
  </si>
  <si>
    <t>Cancer Treat Rev</t>
  </si>
  <si>
    <t>World J Urol</t>
  </si>
  <si>
    <t>CHEST</t>
  </si>
  <si>
    <t>224s</t>
  </si>
  <si>
    <t>J Surg Oncol</t>
  </si>
  <si>
    <t>Liver Cancer</t>
  </si>
  <si>
    <t>Bottino, Opfell, Muggia</t>
  </si>
  <si>
    <t>pg 197</t>
  </si>
  <si>
    <t>Ovarian Cancer</t>
  </si>
  <si>
    <t>Alberts, Surwit</t>
  </si>
  <si>
    <t>pg115</t>
  </si>
  <si>
    <t>Cancer March Supplement</t>
  </si>
  <si>
    <t>Int J Panc</t>
  </si>
  <si>
    <t>Cancer Supplement</t>
  </si>
  <si>
    <t>Sem Surg Oncol</t>
  </si>
  <si>
    <t>Gottlieb</t>
  </si>
  <si>
    <t>Adriamycin Activity in Solid Tumors</t>
  </si>
  <si>
    <t>Ergebnisse der Adriamycin-Therapie</t>
  </si>
  <si>
    <t>J Natl Cancer Inst</t>
  </si>
  <si>
    <t>Med Ped Oncol</t>
  </si>
  <si>
    <t>J Clin Oncol</t>
  </si>
  <si>
    <t>The Oncologist</t>
  </si>
  <si>
    <t>Pharmacotherapy</t>
  </si>
  <si>
    <t>Am J Health-Sys Pharm</t>
  </si>
  <si>
    <t>Cancer Chemother Pharmacol</t>
  </si>
  <si>
    <t>S1</t>
  </si>
  <si>
    <t>Anti-Cancer Drugs</t>
  </si>
  <si>
    <t>Drugs</t>
  </si>
  <si>
    <t>Expr Op Invst Drugs</t>
  </si>
  <si>
    <t>Oncology</t>
  </si>
  <si>
    <t>Schmoll</t>
  </si>
  <si>
    <t>Vindesine in Melanoma, Testicular Cancer, Head and Neck Cancer, Myeloma and Other Solid Tumors, Except Breast and Lung Cancer: a Critical Review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</si>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</sst>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3" xfId="0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6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1456-F4CA-5E40-AC45-51FBD7D0875D}">
  <dimension ref="A1:AI20"/>
  <sheetViews>
    <sheetView workbookViewId="0">
      <selection activeCell="F33" sqref="F33"/>
    </sheetView>
  </sheetViews>
  <sheetFormatPr baseColWidth="10" defaultColWidth="5.6640625" defaultRowHeight="16" x14ac:dyDescent="0.2"/>
  <cols>
    <col min="2" max="35" width="5.6640625" style="4"/>
  </cols>
  <sheetData>
    <row r="1" spans="1:35" s="63" customFormat="1" x14ac:dyDescent="0.2">
      <c r="B1" s="64" t="s">
        <v>25</v>
      </c>
      <c r="C1" s="64" t="s">
        <v>6</v>
      </c>
      <c r="D1" s="64" t="s">
        <v>26</v>
      </c>
      <c r="E1" s="64" t="s">
        <v>92</v>
      </c>
      <c r="F1" s="64" t="s">
        <v>24</v>
      </c>
      <c r="G1" s="64" t="s">
        <v>23</v>
      </c>
      <c r="H1" s="64" t="s">
        <v>99</v>
      </c>
      <c r="I1" s="64" t="s">
        <v>49</v>
      </c>
      <c r="J1" s="64" t="s">
        <v>27</v>
      </c>
      <c r="K1" s="64" t="s">
        <v>34</v>
      </c>
      <c r="L1" s="64" t="s">
        <v>91</v>
      </c>
      <c r="M1" s="64" t="s">
        <v>61</v>
      </c>
      <c r="N1" s="64" t="s">
        <v>75</v>
      </c>
      <c r="O1" s="64" t="s">
        <v>50</v>
      </c>
      <c r="P1" s="64" t="s">
        <v>20</v>
      </c>
      <c r="Q1" s="64" t="s">
        <v>68</v>
      </c>
      <c r="R1" s="64" t="s">
        <v>126</v>
      </c>
      <c r="S1" s="64" t="s">
        <v>133</v>
      </c>
      <c r="T1" s="64" t="s">
        <v>17</v>
      </c>
      <c r="U1" s="64" t="s">
        <v>28</v>
      </c>
      <c r="V1" s="64" t="s">
        <v>94</v>
      </c>
      <c r="W1" s="64" t="s">
        <v>110</v>
      </c>
      <c r="X1" s="64" t="s">
        <v>55</v>
      </c>
      <c r="Y1" s="64" t="s">
        <v>59</v>
      </c>
      <c r="Z1" s="64" t="s">
        <v>18</v>
      </c>
      <c r="AA1" s="64" t="s">
        <v>79</v>
      </c>
      <c r="AB1" s="64" t="s">
        <v>95</v>
      </c>
      <c r="AC1" s="64" t="s">
        <v>63</v>
      </c>
      <c r="AD1" s="64" t="s">
        <v>93</v>
      </c>
      <c r="AE1" s="64" t="s">
        <v>19</v>
      </c>
      <c r="AF1" s="64" t="s">
        <v>106</v>
      </c>
      <c r="AG1" s="64" t="s">
        <v>58</v>
      </c>
      <c r="AH1" s="64" t="s">
        <v>67</v>
      </c>
      <c r="AI1" s="64" t="s">
        <v>81</v>
      </c>
    </row>
    <row r="2" spans="1:35" x14ac:dyDescent="0.2">
      <c r="A2" t="s">
        <v>1</v>
      </c>
      <c r="B2" s="4">
        <v>0.25653206650831401</v>
      </c>
      <c r="C2" s="4">
        <v>0.37391304347826099</v>
      </c>
      <c r="D2" s="4">
        <v>0.41428571428571398</v>
      </c>
      <c r="E2" s="4">
        <v>7.8231292517006806E-2</v>
      </c>
      <c r="F2" s="4">
        <v>0.34404536862003798</v>
      </c>
      <c r="G2" s="4">
        <v>0.33707865168539303</v>
      </c>
      <c r="H2" s="4">
        <v>0.30769230769230799</v>
      </c>
      <c r="I2" s="4">
        <v>0.203703703703704</v>
      </c>
      <c r="J2" s="4">
        <v>0.11764705882352899</v>
      </c>
      <c r="K2" s="4">
        <v>0.33673469387755101</v>
      </c>
      <c r="L2" s="4">
        <v>0.19230769230769201</v>
      </c>
      <c r="M2" s="4">
        <v>0.2</v>
      </c>
      <c r="O2" s="4">
        <v>0.21468926553672299</v>
      </c>
      <c r="P2" s="4">
        <v>0.186046511627907</v>
      </c>
      <c r="Q2" s="4">
        <v>0.04</v>
      </c>
      <c r="R2" s="4">
        <v>0.28282828282828298</v>
      </c>
      <c r="S2" s="4">
        <v>0.15384615384615399</v>
      </c>
      <c r="T2" s="4">
        <v>0.20796460176991099</v>
      </c>
      <c r="U2" s="4">
        <v>0.21052631578947401</v>
      </c>
      <c r="V2" s="4">
        <v>0.49253731343283602</v>
      </c>
      <c r="W2" s="4">
        <v>0.58893280632411105</v>
      </c>
      <c r="X2" s="4">
        <v>0.133333333333333</v>
      </c>
      <c r="Y2" s="4">
        <v>0.11111111111111099</v>
      </c>
      <c r="AA2" s="4">
        <v>0.29585798816567999</v>
      </c>
      <c r="AB2" s="4">
        <v>0.33451327433628297</v>
      </c>
      <c r="AC2" s="4">
        <v>4.7619047619047603E-2</v>
      </c>
      <c r="AF2" s="4">
        <v>0.17263843648208499</v>
      </c>
      <c r="AG2" s="4">
        <v>9.375E-2</v>
      </c>
      <c r="AI2" s="4">
        <v>0.296296296296296</v>
      </c>
    </row>
    <row r="3" spans="1:35" x14ac:dyDescent="0.2">
      <c r="A3" t="s">
        <v>32</v>
      </c>
      <c r="B3" s="4">
        <v>7.5949367088607597E-2</v>
      </c>
      <c r="C3" s="4">
        <v>0.18378378378378399</v>
      </c>
      <c r="D3" s="4">
        <v>0.21481481481481501</v>
      </c>
      <c r="E3" s="4">
        <v>8.9285714285714302E-2</v>
      </c>
      <c r="F3" s="4">
        <v>0.33005893909626699</v>
      </c>
      <c r="G3" s="4">
        <v>0.33532934131736503</v>
      </c>
      <c r="H3" s="4">
        <v>4.2654028436019002E-2</v>
      </c>
      <c r="I3" s="4">
        <v>8.6956521739130405E-2</v>
      </c>
      <c r="J3" s="4">
        <v>0.164874551971326</v>
      </c>
      <c r="K3" s="4">
        <v>0.29741763134461302</v>
      </c>
      <c r="L3" s="4">
        <v>0.16398713826366601</v>
      </c>
      <c r="M3" s="4">
        <v>0.11009174311926601</v>
      </c>
      <c r="N3" s="4">
        <v>7.4074074074074098E-2</v>
      </c>
      <c r="O3" s="4">
        <v>0.105263157894737</v>
      </c>
      <c r="P3" s="4">
        <v>0.101449275362319</v>
      </c>
      <c r="Q3" s="4">
        <v>9.6774193548387094E-2</v>
      </c>
      <c r="R3" s="4">
        <v>0.20255183413078201</v>
      </c>
      <c r="S3" s="4">
        <v>0.15032679738562099</v>
      </c>
      <c r="T3" s="4">
        <v>9.3023255813953501E-2</v>
      </c>
      <c r="U3" s="4">
        <v>0.108433734939759</v>
      </c>
      <c r="V3" s="4">
        <v>0.312</v>
      </c>
      <c r="W3" s="4">
        <v>0.35838150289017301</v>
      </c>
      <c r="X3" s="4">
        <v>4.2105263157894701E-2</v>
      </c>
      <c r="Y3" s="4">
        <v>0</v>
      </c>
      <c r="AA3" s="4">
        <v>0.15151515151515199</v>
      </c>
      <c r="AB3" s="4">
        <v>0.14285714285714299</v>
      </c>
      <c r="AC3" s="4">
        <v>0.15116279069767399</v>
      </c>
      <c r="AD3" s="4">
        <v>4.0404040404040401E-2</v>
      </c>
      <c r="AF3" s="4">
        <v>0.14754098360655701</v>
      </c>
      <c r="AG3" s="4">
        <v>0</v>
      </c>
      <c r="AH3" s="4">
        <v>0</v>
      </c>
    </row>
    <row r="4" spans="1:35" x14ac:dyDescent="0.2">
      <c r="A4" t="s">
        <v>8</v>
      </c>
      <c r="B4" s="4">
        <v>0.21547223540579</v>
      </c>
      <c r="C4" s="4">
        <v>8.6956521739130405E-2</v>
      </c>
      <c r="D4" s="4">
        <v>0.16055045871559601</v>
      </c>
      <c r="E4" s="4">
        <v>2.4590163934426201E-2</v>
      </c>
      <c r="F4" s="4">
        <v>0.26966292134831499</v>
      </c>
      <c r="G4" s="4">
        <v>0.1484375</v>
      </c>
      <c r="H4" s="4">
        <v>7.0739549839228297E-2</v>
      </c>
      <c r="I4" s="4">
        <v>9.0909090909090898E-2</v>
      </c>
      <c r="J4" s="4">
        <v>9.00900900900901E-2</v>
      </c>
      <c r="K4" s="4">
        <v>0.15517241379310301</v>
      </c>
      <c r="L4" s="4">
        <v>8.2352941176470601E-2</v>
      </c>
      <c r="M4" s="4">
        <v>7.0422535211267595E-2</v>
      </c>
      <c r="N4" s="4">
        <v>0</v>
      </c>
      <c r="O4" s="4">
        <v>0.17272727272727301</v>
      </c>
      <c r="P4" s="4">
        <v>0.105960264900662</v>
      </c>
      <c r="Q4" s="4">
        <v>0.107142857142857</v>
      </c>
      <c r="R4" s="4">
        <v>0</v>
      </c>
      <c r="S4" s="4">
        <v>9.6774193548387094E-2</v>
      </c>
      <c r="T4" s="4">
        <v>0</v>
      </c>
      <c r="U4" s="4">
        <v>0.1328125</v>
      </c>
      <c r="W4" s="4">
        <v>0</v>
      </c>
      <c r="X4" s="4">
        <v>5.3333333333333302E-2</v>
      </c>
      <c r="Y4" s="4">
        <v>0.14583333333333301</v>
      </c>
      <c r="Z4" s="4">
        <v>0</v>
      </c>
      <c r="AA4" s="4">
        <v>0.233387358184765</v>
      </c>
      <c r="AC4" s="4">
        <v>0</v>
      </c>
      <c r="AE4" s="4">
        <v>0.11267605633802801</v>
      </c>
      <c r="AF4" s="4">
        <v>6.8965517241379296E-2</v>
      </c>
      <c r="AG4" s="4">
        <v>9.4890510948905105E-2</v>
      </c>
      <c r="AH4" s="4">
        <v>0.14285714285714299</v>
      </c>
      <c r="AI4" s="4">
        <v>0.22222222222222199</v>
      </c>
    </row>
    <row r="5" spans="1:35" x14ac:dyDescent="0.2">
      <c r="A5" t="s">
        <v>120</v>
      </c>
      <c r="B5" s="4">
        <v>4.7619047619047603E-2</v>
      </c>
      <c r="C5" s="4">
        <v>0.57803468208092501</v>
      </c>
      <c r="D5" s="4">
        <v>0.9375</v>
      </c>
      <c r="E5" s="4">
        <v>0.22535211267605601</v>
      </c>
      <c r="F5" s="4">
        <v>0.31353135313531399</v>
      </c>
      <c r="G5" s="4">
        <v>0.48806941431670298</v>
      </c>
      <c r="H5" s="4">
        <v>0.73684210526315796</v>
      </c>
      <c r="I5" s="4">
        <v>0.62168674698795201</v>
      </c>
      <c r="K5" s="4">
        <v>0.38709677419354799</v>
      </c>
      <c r="L5" s="4">
        <v>0.42105263157894701</v>
      </c>
      <c r="M5" s="4">
        <v>0.24786324786324801</v>
      </c>
      <c r="O5" s="4">
        <v>0</v>
      </c>
      <c r="P5" s="4">
        <v>0.14285714285714299</v>
      </c>
      <c r="S5" s="4">
        <v>0</v>
      </c>
      <c r="T5" s="4">
        <v>0.52068126520681302</v>
      </c>
      <c r="V5" s="4">
        <v>0.22222222222222199</v>
      </c>
      <c r="X5" s="4">
        <v>0.49422442244224402</v>
      </c>
      <c r="Y5" s="4">
        <v>0.35714285714285698</v>
      </c>
      <c r="AG5" s="4">
        <v>0.26603325415676998</v>
      </c>
    </row>
    <row r="6" spans="1:35" x14ac:dyDescent="0.2">
      <c r="A6" t="s">
        <v>51</v>
      </c>
      <c r="B6" s="4">
        <v>0.26086956521739102</v>
      </c>
      <c r="C6" s="4">
        <v>0.45906432748538001</v>
      </c>
      <c r="D6" s="4">
        <v>0.45098039215686297</v>
      </c>
      <c r="E6" s="4">
        <v>0.35599999999999998</v>
      </c>
      <c r="F6" s="4">
        <v>0.56756756756756799</v>
      </c>
      <c r="G6" s="4">
        <v>0.359375</v>
      </c>
      <c r="H6" s="4">
        <v>0.73469387755102</v>
      </c>
      <c r="I6" s="4">
        <v>0.60047846889952206</v>
      </c>
      <c r="J6" s="4">
        <v>0.38970588235294101</v>
      </c>
      <c r="K6" s="4">
        <v>0.62288135593220295</v>
      </c>
      <c r="L6" s="4">
        <v>0.41758241758241799</v>
      </c>
      <c r="M6" s="4">
        <v>0.60341151385927505</v>
      </c>
      <c r="O6" s="4">
        <v>0.30769230769230799</v>
      </c>
      <c r="P6" s="4">
        <v>7.1428571428571397E-2</v>
      </c>
      <c r="Q6" s="4">
        <v>0.221374045801527</v>
      </c>
      <c r="T6" s="4">
        <v>0.57587548638132302</v>
      </c>
      <c r="U6" s="4">
        <v>0.38750000000000001</v>
      </c>
      <c r="V6" s="4">
        <v>0.42142857142857099</v>
      </c>
      <c r="X6" s="4">
        <v>0.371428571428571</v>
      </c>
      <c r="Y6" s="4">
        <v>0.5</v>
      </c>
      <c r="Z6" s="4">
        <v>0.38888888888888901</v>
      </c>
      <c r="AB6" s="4">
        <v>0.42105263157894701</v>
      </c>
      <c r="AC6" s="4">
        <v>0.63507109004739304</v>
      </c>
    </row>
    <row r="7" spans="1:35" x14ac:dyDescent="0.2">
      <c r="A7" t="s">
        <v>9</v>
      </c>
      <c r="B7" s="4">
        <v>0.293650793650794</v>
      </c>
      <c r="C7" s="4">
        <v>0.33333333333333298</v>
      </c>
      <c r="D7" s="4">
        <v>0.16326530612244899</v>
      </c>
      <c r="E7" s="4">
        <v>0.118811881188119</v>
      </c>
      <c r="F7" s="4">
        <v>0.43893129770992401</v>
      </c>
      <c r="G7" s="4">
        <v>0.17647058823529399</v>
      </c>
      <c r="H7" s="4">
        <v>0.29545454545454503</v>
      </c>
      <c r="I7" s="4">
        <v>0.52606635071090002</v>
      </c>
      <c r="J7" s="4">
        <v>0</v>
      </c>
      <c r="K7" s="4">
        <v>0.30864197530864201</v>
      </c>
      <c r="L7" s="4">
        <v>0.25</v>
      </c>
      <c r="M7" s="4">
        <v>0.15</v>
      </c>
      <c r="N7" s="4">
        <v>0.40820734341252701</v>
      </c>
      <c r="O7" s="4">
        <v>0.46963562753036397</v>
      </c>
      <c r="Q7" s="4">
        <v>0</v>
      </c>
      <c r="R7" s="4">
        <v>0.21621621621621601</v>
      </c>
      <c r="S7" s="4">
        <v>0.14835164835164799</v>
      </c>
      <c r="T7" s="4">
        <v>0</v>
      </c>
      <c r="V7" s="4">
        <v>0.65116279069767402</v>
      </c>
      <c r="W7" s="4">
        <v>0.293617021276596</v>
      </c>
      <c r="AA7" s="4">
        <v>0.17647058823529399</v>
      </c>
      <c r="AB7" s="4">
        <v>0.23507180650037801</v>
      </c>
      <c r="AC7" s="4">
        <v>0.14285714285714299</v>
      </c>
      <c r="AD7" s="4">
        <v>0.569620253164557</v>
      </c>
      <c r="AF7" s="4">
        <v>0.231578947368421</v>
      </c>
      <c r="AI7" s="4">
        <v>0.63888888888888895</v>
      </c>
    </row>
    <row r="8" spans="1:35" x14ac:dyDescent="0.2">
      <c r="A8" t="s">
        <v>14</v>
      </c>
      <c r="B8" s="4">
        <v>2.32558139534884E-2</v>
      </c>
      <c r="C8" s="4">
        <v>2.5000000000000001E-2</v>
      </c>
      <c r="D8" s="4">
        <v>0.138461538461538</v>
      </c>
      <c r="E8" s="4">
        <v>1.3157894736842099E-2</v>
      </c>
      <c r="F8" s="4">
        <v>0.163636363636364</v>
      </c>
      <c r="G8" s="4">
        <v>0.11111111111111099</v>
      </c>
      <c r="H8" s="4">
        <v>6.7164179104477598E-2</v>
      </c>
      <c r="I8" s="4">
        <v>9.0909090909090898E-2</v>
      </c>
      <c r="J8" s="4">
        <v>0.125</v>
      </c>
      <c r="K8" s="4">
        <v>6.6666666666666693E-2</v>
      </c>
      <c r="L8" s="4">
        <v>0.137777777777778</v>
      </c>
      <c r="M8" s="4">
        <v>0.154929577464789</v>
      </c>
      <c r="N8" s="4">
        <v>0.235955056179775</v>
      </c>
      <c r="O8" s="4">
        <v>0.15384615384615399</v>
      </c>
      <c r="P8" s="4">
        <v>0.210884353741497</v>
      </c>
      <c r="Q8" s="4">
        <v>0.120967741935484</v>
      </c>
      <c r="R8" s="4">
        <v>3.03030303030303E-2</v>
      </c>
      <c r="S8" s="4">
        <v>5.8823529411764698E-2</v>
      </c>
      <c r="T8" s="4">
        <v>0.115384615384615</v>
      </c>
      <c r="U8" s="4">
        <v>0.17886178861788599</v>
      </c>
      <c r="V8" s="4">
        <v>0.140350877192982</v>
      </c>
      <c r="W8" s="4">
        <v>0.28571428571428598</v>
      </c>
      <c r="X8" s="4">
        <v>4.2553191489361701E-2</v>
      </c>
      <c r="Y8" s="4">
        <v>0.34545454545454501</v>
      </c>
      <c r="Z8" s="4">
        <v>0</v>
      </c>
      <c r="AA8" s="4">
        <v>0.11764705882352899</v>
      </c>
      <c r="AB8" s="4">
        <v>0.13207547169811301</v>
      </c>
      <c r="AC8" s="4">
        <v>0.16</v>
      </c>
      <c r="AE8" s="4">
        <v>0.239717978848414</v>
      </c>
      <c r="AF8" s="4">
        <v>9.0909090909090898E-2</v>
      </c>
      <c r="AG8" s="4">
        <v>1.9230769230769201E-2</v>
      </c>
      <c r="AH8" s="4">
        <v>0.113924050632911</v>
      </c>
    </row>
    <row r="9" spans="1:35" x14ac:dyDescent="0.2">
      <c r="A9" t="s">
        <v>13</v>
      </c>
      <c r="B9" s="4">
        <v>0.267123287671233</v>
      </c>
      <c r="C9" s="4">
        <v>0.18691588785046701</v>
      </c>
      <c r="D9" s="4">
        <v>0.18181818181818199</v>
      </c>
      <c r="E9" s="4">
        <v>1.6949152542372899E-2</v>
      </c>
      <c r="F9" s="4">
        <v>0.36363636363636398</v>
      </c>
      <c r="G9" s="4">
        <v>0.420038535645472</v>
      </c>
      <c r="H9" s="4">
        <v>8.8888888888888906E-2</v>
      </c>
      <c r="I9" s="4">
        <v>0.14705882352941199</v>
      </c>
      <c r="J9" s="4">
        <v>0.08</v>
      </c>
      <c r="K9" s="4">
        <v>7.5757575757575801E-2</v>
      </c>
      <c r="L9" s="4">
        <v>0.164556962025316</v>
      </c>
      <c r="M9" s="4">
        <v>0.27118644067796599</v>
      </c>
      <c r="N9" s="4">
        <v>0.30150753768844202</v>
      </c>
      <c r="P9" s="4">
        <v>0.38888888888888901</v>
      </c>
      <c r="Q9" s="4">
        <v>0.113207547169811</v>
      </c>
      <c r="R9" s="4">
        <v>0.13114754098360701</v>
      </c>
      <c r="S9" s="4">
        <v>8.8888888888888906E-2</v>
      </c>
      <c r="U9" s="4">
        <v>0.16</v>
      </c>
      <c r="W9" s="4">
        <v>0.38333333333333303</v>
      </c>
      <c r="X9" s="4">
        <v>0.133333333333333</v>
      </c>
      <c r="Z9" s="4">
        <v>0.25986078886310898</v>
      </c>
      <c r="AA9" s="4">
        <v>7.4999999999999997E-2</v>
      </c>
      <c r="AB9" s="4">
        <v>0.36842105263157898</v>
      </c>
      <c r="AC9" s="4">
        <v>9.6774193548387094E-2</v>
      </c>
      <c r="AD9" s="4">
        <v>0.25333333333333302</v>
      </c>
    </row>
    <row r="10" spans="1:35" x14ac:dyDescent="0.2">
      <c r="A10" t="s">
        <v>10</v>
      </c>
      <c r="B10" s="4">
        <v>0.6</v>
      </c>
      <c r="C10" s="4">
        <v>0.26890756302521002</v>
      </c>
      <c r="D10" s="4">
        <v>0.30303030303030298</v>
      </c>
      <c r="E10" s="4">
        <v>7.3170731707317097E-2</v>
      </c>
      <c r="F10" s="4">
        <v>0.51612903225806495</v>
      </c>
      <c r="G10" s="4">
        <v>0.183673469387755</v>
      </c>
      <c r="H10" s="4">
        <v>0.15503875968992201</v>
      </c>
      <c r="I10" s="4">
        <v>0.25</v>
      </c>
      <c r="J10" s="4">
        <v>0.105263157894737</v>
      </c>
      <c r="L10" s="4">
        <v>0.11764705882352899</v>
      </c>
      <c r="N10" s="4">
        <v>0.129411764705882</v>
      </c>
      <c r="O10" s="4">
        <v>0.28571428571428598</v>
      </c>
      <c r="S10" s="4">
        <v>0.10344827586206901</v>
      </c>
      <c r="T10" s="4">
        <v>0.5</v>
      </c>
      <c r="V10" s="4">
        <v>0.34574468085106402</v>
      </c>
      <c r="Y10" s="4">
        <v>0.240963855421687</v>
      </c>
      <c r="Z10" s="4">
        <v>6.25E-2</v>
      </c>
      <c r="AA10" s="4">
        <v>4.7619047619047603E-2</v>
      </c>
      <c r="AE10" s="4">
        <v>0.155963302752294</v>
      </c>
    </row>
    <row r="11" spans="1:35" x14ac:dyDescent="0.2">
      <c r="A11" t="s">
        <v>11</v>
      </c>
      <c r="B11" s="4">
        <v>0.27272727272727298</v>
      </c>
      <c r="C11" s="4">
        <v>0.42307692307692302</v>
      </c>
      <c r="E11" s="4">
        <v>0.35555555555555601</v>
      </c>
      <c r="F11" s="4">
        <v>0.78571428571428603</v>
      </c>
      <c r="G11" s="4">
        <v>0.4</v>
      </c>
      <c r="L11" s="4">
        <v>0.12765957446808501</v>
      </c>
      <c r="M11" s="4">
        <v>0.41935483870967699</v>
      </c>
      <c r="N11" s="4">
        <v>0.54644808743169404</v>
      </c>
      <c r="O11" s="4">
        <v>0.25</v>
      </c>
      <c r="V11" s="4">
        <v>0.639130434782609</v>
      </c>
      <c r="Y11" s="4">
        <v>0.33734939759036098</v>
      </c>
      <c r="Z11" s="4">
        <v>0.42592592592592599</v>
      </c>
      <c r="AD11" s="4">
        <v>0.31818181818181801</v>
      </c>
      <c r="AH11" s="4">
        <v>0.36842105263157898</v>
      </c>
    </row>
    <row r="12" spans="1:35" x14ac:dyDescent="0.2">
      <c r="A12" t="s">
        <v>37</v>
      </c>
      <c r="B12" s="4">
        <v>0.246153846153846</v>
      </c>
      <c r="C12" s="4">
        <v>0.225806451612903</v>
      </c>
      <c r="D12" s="4">
        <v>0.22222222222222199</v>
      </c>
      <c r="E12" s="4">
        <v>0</v>
      </c>
      <c r="F12" s="4">
        <v>0.154255319148936</v>
      </c>
      <c r="G12" s="4">
        <v>0.39583333333333298</v>
      </c>
      <c r="I12" s="4">
        <v>0.25</v>
      </c>
      <c r="J12" s="4">
        <v>0.2</v>
      </c>
      <c r="K12" s="4">
        <v>0</v>
      </c>
      <c r="N12" s="4">
        <v>0.36842105263157898</v>
      </c>
      <c r="O12" s="4">
        <v>0.2</v>
      </c>
      <c r="P12" s="4">
        <v>0</v>
      </c>
      <c r="Q12" s="4">
        <v>0.125</v>
      </c>
      <c r="R12" s="4">
        <v>0.17857142857142899</v>
      </c>
      <c r="S12" s="4">
        <v>0.18181818181818199</v>
      </c>
      <c r="T12" s="4">
        <v>0.22727272727272699</v>
      </c>
      <c r="U12" s="4">
        <v>0.14285714285714299</v>
      </c>
      <c r="X12" s="4">
        <v>5.5555555555555601E-2</v>
      </c>
      <c r="Z12" s="4">
        <v>9.8837209302325604E-2</v>
      </c>
      <c r="AD12" s="4">
        <v>0.20689655172413801</v>
      </c>
      <c r="AE12" s="4">
        <v>0.25</v>
      </c>
      <c r="AF12" s="4">
        <v>0.15384615384615399</v>
      </c>
      <c r="AI12" s="4">
        <v>0.16666666666666699</v>
      </c>
    </row>
    <row r="13" spans="1:35" x14ac:dyDescent="0.2">
      <c r="A13" t="s">
        <v>29</v>
      </c>
      <c r="B13" s="4">
        <v>0.28301886792452802</v>
      </c>
      <c r="C13" s="4">
        <v>7.1428571428571397E-2</v>
      </c>
      <c r="D13" s="4">
        <v>0.321678321678322</v>
      </c>
      <c r="G13" s="4">
        <v>0.04</v>
      </c>
      <c r="H13" s="4">
        <v>0.214285714285714</v>
      </c>
      <c r="J13" s="4">
        <v>0.157894736842105</v>
      </c>
      <c r="K13" s="4">
        <v>0.14285714285714299</v>
      </c>
      <c r="L13" s="4">
        <v>6.6666666666666693E-2</v>
      </c>
      <c r="O13" s="4">
        <v>5.1724137931034503E-2</v>
      </c>
      <c r="Q13" s="4">
        <v>4.3956043956044001E-2</v>
      </c>
      <c r="R13" s="4">
        <v>0.107913669064748</v>
      </c>
      <c r="S13" s="4">
        <v>3.3333333333333298E-2</v>
      </c>
      <c r="U13" s="4">
        <v>0</v>
      </c>
      <c r="V13" s="4">
        <v>0.11965811965812</v>
      </c>
      <c r="W13" s="4">
        <v>0.25</v>
      </c>
      <c r="Y13" s="4">
        <v>3.5714285714285698E-2</v>
      </c>
      <c r="AB13" s="4">
        <v>0</v>
      </c>
      <c r="AE13" s="4">
        <v>0</v>
      </c>
    </row>
    <row r="14" spans="1:35" x14ac:dyDescent="0.2">
      <c r="A14" t="s">
        <v>16</v>
      </c>
      <c r="B14" s="4">
        <v>9.8039215686274495E-2</v>
      </c>
      <c r="C14" s="4">
        <v>8.2191780821917804E-2</v>
      </c>
      <c r="D14" s="4">
        <v>0.11111111111111099</v>
      </c>
      <c r="E14" s="4">
        <v>2.8571428571428598E-2</v>
      </c>
      <c r="F14" s="4">
        <v>0</v>
      </c>
      <c r="H14" s="4">
        <v>4.2253521126760597E-2</v>
      </c>
      <c r="I14" s="4">
        <v>0.133333333333333</v>
      </c>
      <c r="J14" s="4">
        <v>6.7796610169491497E-2</v>
      </c>
      <c r="K14" s="4">
        <v>0.114285714285714</v>
      </c>
      <c r="L14" s="4">
        <v>3.9215686274509803E-2</v>
      </c>
      <c r="M14" s="4">
        <v>0.24444444444444399</v>
      </c>
      <c r="N14" s="4">
        <v>0</v>
      </c>
      <c r="P14" s="4">
        <v>0.11111111111111099</v>
      </c>
      <c r="Q14" s="4">
        <v>8.8607594936708903E-2</v>
      </c>
      <c r="R14" s="4">
        <v>7.2727272727272696E-2</v>
      </c>
      <c r="S14" s="4">
        <v>0</v>
      </c>
      <c r="W14" s="4">
        <v>0.116279069767442</v>
      </c>
      <c r="X14" s="4">
        <v>7.69230769230769E-2</v>
      </c>
      <c r="Z14" s="4">
        <v>0.14285714285714299</v>
      </c>
      <c r="AA14" s="4">
        <v>4.5454545454545497E-2</v>
      </c>
      <c r="AB14" s="4">
        <v>0</v>
      </c>
      <c r="AE14" s="4">
        <v>3.4482758620689703E-2</v>
      </c>
      <c r="AI14" s="4">
        <v>9.0909090909090898E-2</v>
      </c>
    </row>
    <row r="15" spans="1:35" x14ac:dyDescent="0.2">
      <c r="A15" t="s">
        <v>30</v>
      </c>
      <c r="B15" s="4">
        <v>0.214285714285714</v>
      </c>
      <c r="C15" s="4">
        <v>0.35714285714285698</v>
      </c>
      <c r="D15" s="4">
        <v>0.29857819905213301</v>
      </c>
      <c r="E15" s="4">
        <v>0.105263157894737</v>
      </c>
      <c r="H15" s="4">
        <v>0.16</v>
      </c>
      <c r="I15" s="4">
        <v>0.16666666666666699</v>
      </c>
      <c r="J15" s="4">
        <v>0</v>
      </c>
      <c r="K15" s="4">
        <v>0.13043478260869601</v>
      </c>
      <c r="M15" s="4">
        <v>0.1875</v>
      </c>
      <c r="P15" s="4">
        <v>0.19354838709677399</v>
      </c>
      <c r="R15" s="4">
        <v>2.4390243902439001E-2</v>
      </c>
      <c r="U15" s="4">
        <v>0.125</v>
      </c>
      <c r="W15" s="4">
        <v>0.24242424242424199</v>
      </c>
      <c r="AA15" s="4">
        <v>0.45945945945945899</v>
      </c>
      <c r="AD15" s="4">
        <v>0</v>
      </c>
      <c r="AE15" s="4">
        <v>0.133333333333333</v>
      </c>
      <c r="AF15" s="4">
        <v>6.25E-2</v>
      </c>
      <c r="AH15" s="4">
        <v>0.27272727272727298</v>
      </c>
    </row>
    <row r="16" spans="1:35" x14ac:dyDescent="0.2">
      <c r="A16" t="s">
        <v>12</v>
      </c>
      <c r="B16" s="4">
        <v>0.35135135135135098</v>
      </c>
      <c r="C16" s="4">
        <v>0.21724137931034501</v>
      </c>
      <c r="D16" s="4">
        <v>0.25490196078431399</v>
      </c>
      <c r="E16" s="4">
        <v>3.03030303030303E-2</v>
      </c>
      <c r="F16" s="4">
        <v>0.2</v>
      </c>
      <c r="G16" s="4">
        <v>0.29729729729729698</v>
      </c>
      <c r="H16" s="4">
        <v>0.125</v>
      </c>
      <c r="I16" s="4">
        <v>0</v>
      </c>
      <c r="M16" s="4">
        <v>0.17857142857142899</v>
      </c>
      <c r="N16" s="4">
        <v>0.35</v>
      </c>
      <c r="R16" s="4">
        <v>0.30303030303030298</v>
      </c>
      <c r="AD16" s="4">
        <v>0.214285714285714</v>
      </c>
    </row>
    <row r="17" spans="1:30" x14ac:dyDescent="0.2">
      <c r="A17" t="s">
        <v>57</v>
      </c>
      <c r="B17" s="4">
        <v>0.41666666666666702</v>
      </c>
      <c r="C17" s="4">
        <v>0.17948717948717899</v>
      </c>
      <c r="D17" s="4">
        <v>0.25862068965517199</v>
      </c>
      <c r="E17" s="4">
        <v>0</v>
      </c>
      <c r="G17" s="4">
        <v>0.35384615384615398</v>
      </c>
      <c r="J17" s="4">
        <v>0.157894736842105</v>
      </c>
      <c r="L17" s="4">
        <v>0.22093023255814001</v>
      </c>
      <c r="N17" s="4">
        <v>0.17857142857142899</v>
      </c>
      <c r="V17" s="4">
        <v>7.69230769230769E-2</v>
      </c>
      <c r="W17" s="4">
        <v>0.13636363636363599</v>
      </c>
      <c r="Z17" s="4">
        <v>0.15</v>
      </c>
      <c r="AB17" s="4">
        <v>0.28571428571428598</v>
      </c>
      <c r="AD17" s="4">
        <v>6.6666666666666693E-2</v>
      </c>
    </row>
    <row r="18" spans="1:30" x14ac:dyDescent="0.2">
      <c r="A18" t="s">
        <v>42</v>
      </c>
      <c r="B18" s="4">
        <v>0.246153846153846</v>
      </c>
      <c r="C18" s="4">
        <v>0.33333333333333298</v>
      </c>
      <c r="F18" s="4">
        <v>0.19251336898395699</v>
      </c>
      <c r="H18" s="4">
        <v>0.1</v>
      </c>
      <c r="I18" s="4">
        <v>0</v>
      </c>
      <c r="P18" s="4">
        <v>0.15384615384615399</v>
      </c>
    </row>
    <row r="19" spans="1:30" x14ac:dyDescent="0.2">
      <c r="A19" t="s">
        <v>43</v>
      </c>
      <c r="F19" s="4">
        <v>0</v>
      </c>
      <c r="G19" s="4">
        <v>0.57446808510638303</v>
      </c>
      <c r="J19" s="4">
        <v>0.40869565217391302</v>
      </c>
      <c r="Q19" s="4">
        <v>0.27272727272727298</v>
      </c>
      <c r="T19" s="4">
        <v>0.57142857142857095</v>
      </c>
      <c r="U19" s="4">
        <v>0.471830985915493</v>
      </c>
    </row>
    <row r="20" spans="1:30" x14ac:dyDescent="0.2">
      <c r="A20" t="s">
        <v>56</v>
      </c>
      <c r="B20" s="4">
        <v>6.25E-2</v>
      </c>
      <c r="C20" s="4">
        <v>0.23021582733813001</v>
      </c>
      <c r="D20" s="4">
        <v>0.375</v>
      </c>
      <c r="E20" s="4">
        <v>0.16129032258064499</v>
      </c>
      <c r="H20" s="4">
        <v>0.14285714285714299</v>
      </c>
      <c r="K20" s="4">
        <v>0.17647058823529399</v>
      </c>
      <c r="N20" s="4">
        <v>7.69230769230769E-2</v>
      </c>
      <c r="AC20" s="4">
        <v>0</v>
      </c>
    </row>
  </sheetData>
  <conditionalFormatting sqref="A1:AI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6675-E8FE-674F-B2F8-84DB3685FCEB}">
  <dimension ref="A1:AI20"/>
  <sheetViews>
    <sheetView workbookViewId="0">
      <selection activeCell="F51" sqref="F51"/>
    </sheetView>
  </sheetViews>
  <sheetFormatPr baseColWidth="10" defaultColWidth="5.6640625" defaultRowHeight="16" x14ac:dyDescent="0.2"/>
  <sheetData>
    <row r="1" spans="1:35" x14ac:dyDescent="0.2">
      <c r="B1" t="s">
        <v>25</v>
      </c>
      <c r="C1" t="s">
        <v>6</v>
      </c>
      <c r="D1" t="s">
        <v>26</v>
      </c>
      <c r="E1" t="s">
        <v>92</v>
      </c>
      <c r="F1" t="s">
        <v>24</v>
      </c>
      <c r="G1" t="s">
        <v>23</v>
      </c>
      <c r="H1" t="s">
        <v>99</v>
      </c>
      <c r="I1" t="s">
        <v>49</v>
      </c>
      <c r="J1" t="s">
        <v>27</v>
      </c>
      <c r="K1" t="s">
        <v>34</v>
      </c>
      <c r="L1" t="s">
        <v>91</v>
      </c>
      <c r="M1" t="s">
        <v>61</v>
      </c>
      <c r="N1" t="s">
        <v>75</v>
      </c>
      <c r="O1" t="s">
        <v>50</v>
      </c>
      <c r="P1" t="s">
        <v>20</v>
      </c>
      <c r="Q1" t="s">
        <v>68</v>
      </c>
      <c r="R1" t="s">
        <v>126</v>
      </c>
      <c r="S1" t="s">
        <v>133</v>
      </c>
      <c r="T1" t="s">
        <v>17</v>
      </c>
      <c r="U1" t="s">
        <v>28</v>
      </c>
      <c r="V1" t="s">
        <v>94</v>
      </c>
      <c r="W1" t="s">
        <v>110</v>
      </c>
      <c r="X1" t="s">
        <v>55</v>
      </c>
      <c r="Y1" t="s">
        <v>59</v>
      </c>
      <c r="Z1" t="s">
        <v>18</v>
      </c>
      <c r="AA1" t="s">
        <v>79</v>
      </c>
      <c r="AB1" t="s">
        <v>95</v>
      </c>
      <c r="AC1" t="s">
        <v>63</v>
      </c>
      <c r="AD1" t="s">
        <v>93</v>
      </c>
      <c r="AE1" t="s">
        <v>19</v>
      </c>
      <c r="AF1" t="s">
        <v>106</v>
      </c>
      <c r="AG1" t="s">
        <v>58</v>
      </c>
      <c r="AH1" t="s">
        <v>67</v>
      </c>
      <c r="AI1" t="s">
        <v>81</v>
      </c>
    </row>
    <row r="2" spans="1:35" x14ac:dyDescent="0.2">
      <c r="A2" t="s">
        <v>1</v>
      </c>
      <c r="B2">
        <v>324</v>
      </c>
      <c r="C2">
        <v>129</v>
      </c>
      <c r="D2">
        <v>29</v>
      </c>
      <c r="E2">
        <v>23</v>
      </c>
      <c r="F2">
        <v>182</v>
      </c>
      <c r="G2">
        <v>120</v>
      </c>
      <c r="H2">
        <v>104</v>
      </c>
      <c r="I2">
        <v>11</v>
      </c>
      <c r="J2">
        <v>20</v>
      </c>
      <c r="K2">
        <v>33</v>
      </c>
      <c r="L2">
        <v>40</v>
      </c>
      <c r="M2">
        <v>19</v>
      </c>
      <c r="N2">
        <v>0</v>
      </c>
      <c r="O2">
        <v>38</v>
      </c>
      <c r="P2">
        <v>8</v>
      </c>
      <c r="Q2">
        <v>4</v>
      </c>
      <c r="R2">
        <v>28</v>
      </c>
      <c r="S2">
        <v>10</v>
      </c>
      <c r="T2">
        <v>47</v>
      </c>
      <c r="U2">
        <v>16</v>
      </c>
      <c r="V2">
        <v>132</v>
      </c>
      <c r="W2">
        <v>149</v>
      </c>
      <c r="X2">
        <v>6</v>
      </c>
      <c r="Y2">
        <v>5</v>
      </c>
      <c r="Z2">
        <v>0</v>
      </c>
      <c r="AA2">
        <v>50</v>
      </c>
      <c r="AB2">
        <v>378</v>
      </c>
      <c r="AC2">
        <v>1</v>
      </c>
      <c r="AD2">
        <v>0</v>
      </c>
      <c r="AE2">
        <v>0</v>
      </c>
      <c r="AF2">
        <v>53</v>
      </c>
      <c r="AG2">
        <v>6</v>
      </c>
      <c r="AH2">
        <v>0</v>
      </c>
      <c r="AI2">
        <v>48</v>
      </c>
    </row>
    <row r="3" spans="1:35" x14ac:dyDescent="0.2">
      <c r="A3" t="s">
        <v>32</v>
      </c>
      <c r="B3">
        <v>12</v>
      </c>
      <c r="C3">
        <v>68</v>
      </c>
      <c r="D3">
        <v>29</v>
      </c>
      <c r="E3">
        <v>15</v>
      </c>
      <c r="F3">
        <v>168</v>
      </c>
      <c r="G3">
        <v>56</v>
      </c>
      <c r="H3">
        <v>9</v>
      </c>
      <c r="I3">
        <v>2</v>
      </c>
      <c r="J3">
        <v>46</v>
      </c>
      <c r="K3">
        <v>334</v>
      </c>
      <c r="L3">
        <v>51</v>
      </c>
      <c r="M3">
        <v>12</v>
      </c>
      <c r="N3">
        <v>2</v>
      </c>
      <c r="O3">
        <v>4</v>
      </c>
      <c r="P3">
        <v>7</v>
      </c>
      <c r="Q3">
        <v>33</v>
      </c>
      <c r="R3">
        <v>127</v>
      </c>
      <c r="S3">
        <v>23</v>
      </c>
      <c r="T3">
        <v>4</v>
      </c>
      <c r="U3">
        <v>9</v>
      </c>
      <c r="V3">
        <v>78</v>
      </c>
      <c r="W3">
        <v>62</v>
      </c>
      <c r="X3">
        <v>4</v>
      </c>
      <c r="Y3">
        <v>0</v>
      </c>
      <c r="Z3">
        <v>0</v>
      </c>
      <c r="AA3">
        <v>5</v>
      </c>
      <c r="AB3">
        <v>14</v>
      </c>
      <c r="AC3">
        <v>26</v>
      </c>
      <c r="AD3">
        <v>4</v>
      </c>
      <c r="AE3">
        <v>0</v>
      </c>
      <c r="AF3">
        <v>27</v>
      </c>
      <c r="AG3">
        <v>0</v>
      </c>
      <c r="AH3">
        <v>0</v>
      </c>
      <c r="AI3">
        <v>0</v>
      </c>
    </row>
    <row r="4" spans="1:35" x14ac:dyDescent="0.2">
      <c r="A4" t="s">
        <v>8</v>
      </c>
      <c r="B4">
        <v>454</v>
      </c>
      <c r="C4">
        <v>8</v>
      </c>
      <c r="D4">
        <v>35</v>
      </c>
      <c r="E4">
        <v>6</v>
      </c>
      <c r="F4">
        <v>24</v>
      </c>
      <c r="G4">
        <v>19</v>
      </c>
      <c r="H4">
        <v>22</v>
      </c>
      <c r="I4">
        <v>5</v>
      </c>
      <c r="J4">
        <v>20</v>
      </c>
      <c r="K4">
        <v>9</v>
      </c>
      <c r="L4">
        <v>7</v>
      </c>
      <c r="M4">
        <v>5</v>
      </c>
      <c r="N4">
        <v>0</v>
      </c>
      <c r="O4">
        <v>19</v>
      </c>
      <c r="P4">
        <v>16</v>
      </c>
      <c r="Q4">
        <v>18</v>
      </c>
      <c r="R4">
        <v>0</v>
      </c>
      <c r="S4">
        <v>6</v>
      </c>
      <c r="T4">
        <v>0</v>
      </c>
      <c r="U4">
        <v>17</v>
      </c>
      <c r="V4">
        <v>0</v>
      </c>
      <c r="W4">
        <v>0</v>
      </c>
      <c r="X4">
        <v>4</v>
      </c>
      <c r="Y4">
        <v>7</v>
      </c>
      <c r="Z4">
        <v>0</v>
      </c>
      <c r="AA4">
        <v>144</v>
      </c>
      <c r="AB4">
        <v>0</v>
      </c>
      <c r="AC4">
        <v>0</v>
      </c>
      <c r="AD4">
        <v>0</v>
      </c>
      <c r="AE4">
        <v>8</v>
      </c>
      <c r="AF4">
        <v>4</v>
      </c>
      <c r="AG4">
        <v>13</v>
      </c>
      <c r="AH4">
        <v>4</v>
      </c>
      <c r="AI4">
        <v>6</v>
      </c>
    </row>
    <row r="5" spans="1:35" x14ac:dyDescent="0.2">
      <c r="A5" t="s">
        <v>120</v>
      </c>
      <c r="B5">
        <v>1</v>
      </c>
      <c r="C5">
        <v>100</v>
      </c>
      <c r="D5">
        <v>15</v>
      </c>
      <c r="E5">
        <v>80</v>
      </c>
      <c r="F5">
        <v>190</v>
      </c>
      <c r="G5">
        <v>225</v>
      </c>
      <c r="H5">
        <v>14</v>
      </c>
      <c r="I5">
        <v>258</v>
      </c>
      <c r="J5">
        <v>0</v>
      </c>
      <c r="K5">
        <v>60</v>
      </c>
      <c r="L5">
        <v>72</v>
      </c>
      <c r="M5">
        <v>29</v>
      </c>
      <c r="N5">
        <v>0</v>
      </c>
      <c r="O5">
        <v>0</v>
      </c>
      <c r="P5">
        <v>5</v>
      </c>
      <c r="Q5">
        <v>0</v>
      </c>
      <c r="R5">
        <v>0</v>
      </c>
      <c r="S5">
        <v>0</v>
      </c>
      <c r="T5">
        <v>214</v>
      </c>
      <c r="U5">
        <v>0</v>
      </c>
      <c r="V5">
        <v>6</v>
      </c>
      <c r="W5">
        <v>0</v>
      </c>
      <c r="X5">
        <v>599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112</v>
      </c>
      <c r="AH5">
        <v>0</v>
      </c>
      <c r="AI5">
        <v>0</v>
      </c>
    </row>
    <row r="6" spans="1:35" x14ac:dyDescent="0.2">
      <c r="A6" t="s">
        <v>51</v>
      </c>
      <c r="B6">
        <v>6</v>
      </c>
      <c r="C6">
        <v>157</v>
      </c>
      <c r="D6">
        <v>23</v>
      </c>
      <c r="E6">
        <v>89</v>
      </c>
      <c r="F6">
        <v>588</v>
      </c>
      <c r="G6">
        <v>23</v>
      </c>
      <c r="H6">
        <v>36</v>
      </c>
      <c r="I6">
        <v>251</v>
      </c>
      <c r="J6">
        <v>53</v>
      </c>
      <c r="K6">
        <v>441</v>
      </c>
      <c r="L6">
        <v>38</v>
      </c>
      <c r="M6">
        <v>283</v>
      </c>
      <c r="N6">
        <v>0</v>
      </c>
      <c r="O6">
        <v>12</v>
      </c>
      <c r="P6">
        <v>1</v>
      </c>
      <c r="Q6">
        <v>29</v>
      </c>
      <c r="R6">
        <v>0</v>
      </c>
      <c r="S6">
        <v>0</v>
      </c>
      <c r="T6">
        <v>148</v>
      </c>
      <c r="U6">
        <v>124</v>
      </c>
      <c r="V6">
        <v>59</v>
      </c>
      <c r="W6">
        <v>0</v>
      </c>
      <c r="X6">
        <v>13</v>
      </c>
      <c r="Y6">
        <v>9</v>
      </c>
      <c r="Z6">
        <v>77</v>
      </c>
      <c r="AA6">
        <v>0</v>
      </c>
      <c r="AB6">
        <v>8</v>
      </c>
      <c r="AC6">
        <v>268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9</v>
      </c>
      <c r="B7">
        <v>37</v>
      </c>
      <c r="C7">
        <v>34</v>
      </c>
      <c r="D7">
        <v>8</v>
      </c>
      <c r="E7">
        <v>12</v>
      </c>
      <c r="F7">
        <v>115</v>
      </c>
      <c r="G7">
        <v>6</v>
      </c>
      <c r="H7">
        <v>13</v>
      </c>
      <c r="I7">
        <v>222</v>
      </c>
      <c r="J7">
        <v>0</v>
      </c>
      <c r="K7">
        <v>25</v>
      </c>
      <c r="L7">
        <v>4</v>
      </c>
      <c r="M7">
        <v>3</v>
      </c>
      <c r="N7">
        <v>189</v>
      </c>
      <c r="O7">
        <v>232</v>
      </c>
      <c r="P7">
        <v>0</v>
      </c>
      <c r="Q7">
        <v>0</v>
      </c>
      <c r="R7">
        <v>24</v>
      </c>
      <c r="S7">
        <v>54</v>
      </c>
      <c r="T7">
        <v>0</v>
      </c>
      <c r="U7">
        <v>0</v>
      </c>
      <c r="V7">
        <v>84</v>
      </c>
      <c r="W7">
        <v>69</v>
      </c>
      <c r="X7">
        <v>0</v>
      </c>
      <c r="Y7">
        <v>0</v>
      </c>
      <c r="Z7">
        <v>0</v>
      </c>
      <c r="AA7">
        <v>3</v>
      </c>
      <c r="AB7">
        <v>311</v>
      </c>
      <c r="AC7">
        <v>1</v>
      </c>
      <c r="AD7">
        <v>45</v>
      </c>
      <c r="AE7">
        <v>0</v>
      </c>
      <c r="AF7">
        <v>66</v>
      </c>
      <c r="AG7">
        <v>0</v>
      </c>
      <c r="AH7">
        <v>0</v>
      </c>
      <c r="AI7">
        <v>92</v>
      </c>
    </row>
    <row r="8" spans="1:35" x14ac:dyDescent="0.2">
      <c r="A8" t="s">
        <v>14</v>
      </c>
      <c r="B8">
        <v>1</v>
      </c>
      <c r="C8">
        <v>1</v>
      </c>
      <c r="D8">
        <v>9</v>
      </c>
      <c r="E8">
        <v>1</v>
      </c>
      <c r="F8">
        <v>9</v>
      </c>
      <c r="G8">
        <v>3</v>
      </c>
      <c r="H8">
        <v>9</v>
      </c>
      <c r="I8">
        <v>2</v>
      </c>
      <c r="J8">
        <v>17</v>
      </c>
      <c r="K8">
        <v>3</v>
      </c>
      <c r="L8">
        <v>31</v>
      </c>
      <c r="M8">
        <v>11</v>
      </c>
      <c r="N8">
        <v>21</v>
      </c>
      <c r="O8">
        <v>8</v>
      </c>
      <c r="P8">
        <v>31</v>
      </c>
      <c r="Q8">
        <v>15</v>
      </c>
      <c r="R8">
        <v>1</v>
      </c>
      <c r="S8">
        <v>1</v>
      </c>
      <c r="T8">
        <v>6</v>
      </c>
      <c r="U8">
        <v>22</v>
      </c>
      <c r="V8">
        <v>8</v>
      </c>
      <c r="W8">
        <v>16</v>
      </c>
      <c r="X8">
        <v>2</v>
      </c>
      <c r="Y8">
        <v>19</v>
      </c>
      <c r="Z8">
        <v>0</v>
      </c>
      <c r="AA8">
        <v>2</v>
      </c>
      <c r="AB8">
        <v>7</v>
      </c>
      <c r="AC8">
        <v>8</v>
      </c>
      <c r="AD8">
        <v>0</v>
      </c>
      <c r="AE8">
        <v>204</v>
      </c>
      <c r="AF8">
        <v>7</v>
      </c>
      <c r="AG8">
        <v>1</v>
      </c>
      <c r="AH8">
        <v>9</v>
      </c>
      <c r="AI8">
        <v>0</v>
      </c>
    </row>
    <row r="9" spans="1:35" x14ac:dyDescent="0.2">
      <c r="A9" t="s">
        <v>13</v>
      </c>
      <c r="B9">
        <v>39</v>
      </c>
      <c r="C9">
        <v>20</v>
      </c>
      <c r="D9">
        <v>2</v>
      </c>
      <c r="E9">
        <v>1</v>
      </c>
      <c r="F9">
        <v>28</v>
      </c>
      <c r="G9">
        <v>436</v>
      </c>
      <c r="H9">
        <v>4</v>
      </c>
      <c r="I9">
        <v>5</v>
      </c>
      <c r="J9">
        <v>4</v>
      </c>
      <c r="K9">
        <v>5</v>
      </c>
      <c r="L9">
        <v>13</v>
      </c>
      <c r="M9">
        <v>16</v>
      </c>
      <c r="N9">
        <v>60</v>
      </c>
      <c r="O9">
        <v>0</v>
      </c>
      <c r="P9">
        <v>7</v>
      </c>
      <c r="Q9">
        <v>6</v>
      </c>
      <c r="R9">
        <v>8</v>
      </c>
      <c r="S9">
        <v>4</v>
      </c>
      <c r="T9">
        <v>0</v>
      </c>
      <c r="U9">
        <v>4</v>
      </c>
      <c r="V9">
        <v>0</v>
      </c>
      <c r="W9">
        <v>23</v>
      </c>
      <c r="X9">
        <v>6</v>
      </c>
      <c r="Y9">
        <v>0</v>
      </c>
      <c r="Z9">
        <v>112</v>
      </c>
      <c r="AA9">
        <v>3</v>
      </c>
      <c r="AB9">
        <v>14</v>
      </c>
      <c r="AC9">
        <v>3</v>
      </c>
      <c r="AD9">
        <v>19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10</v>
      </c>
      <c r="B10">
        <v>3</v>
      </c>
      <c r="C10">
        <v>96</v>
      </c>
      <c r="D10">
        <v>10</v>
      </c>
      <c r="E10">
        <v>3</v>
      </c>
      <c r="F10">
        <v>48</v>
      </c>
      <c r="G10">
        <v>9</v>
      </c>
      <c r="H10">
        <v>20</v>
      </c>
      <c r="I10">
        <v>7</v>
      </c>
      <c r="J10">
        <v>2</v>
      </c>
      <c r="K10">
        <v>0</v>
      </c>
      <c r="L10">
        <v>8</v>
      </c>
      <c r="M10">
        <v>0</v>
      </c>
      <c r="N10">
        <v>11</v>
      </c>
      <c r="O10">
        <v>2</v>
      </c>
      <c r="P10">
        <v>0</v>
      </c>
      <c r="Q10">
        <v>0</v>
      </c>
      <c r="R10">
        <v>0</v>
      </c>
      <c r="S10">
        <v>3</v>
      </c>
      <c r="T10">
        <v>23</v>
      </c>
      <c r="U10">
        <v>0</v>
      </c>
      <c r="V10">
        <v>65</v>
      </c>
      <c r="W10">
        <v>0</v>
      </c>
      <c r="X10">
        <v>0</v>
      </c>
      <c r="Y10">
        <v>20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17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11</v>
      </c>
      <c r="B11">
        <v>3</v>
      </c>
      <c r="C11">
        <v>33</v>
      </c>
      <c r="D11">
        <v>0</v>
      </c>
      <c r="E11">
        <v>32</v>
      </c>
      <c r="F11">
        <v>11</v>
      </c>
      <c r="G11">
        <v>4</v>
      </c>
      <c r="H11">
        <v>0</v>
      </c>
      <c r="I11">
        <v>0</v>
      </c>
      <c r="J11">
        <v>0</v>
      </c>
      <c r="K11">
        <v>0</v>
      </c>
      <c r="L11">
        <v>6</v>
      </c>
      <c r="M11">
        <v>26</v>
      </c>
      <c r="N11">
        <v>100</v>
      </c>
      <c r="O11">
        <v>11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147</v>
      </c>
      <c r="W11">
        <v>0</v>
      </c>
      <c r="X11">
        <v>0</v>
      </c>
      <c r="Y11">
        <v>28</v>
      </c>
      <c r="Z11">
        <v>23</v>
      </c>
      <c r="AA11">
        <v>0</v>
      </c>
      <c r="AB11">
        <v>0</v>
      </c>
      <c r="AC11">
        <v>0</v>
      </c>
      <c r="AD11">
        <v>7</v>
      </c>
      <c r="AE11">
        <v>0</v>
      </c>
      <c r="AF11">
        <v>0</v>
      </c>
      <c r="AG11">
        <v>0</v>
      </c>
      <c r="AH11">
        <v>49</v>
      </c>
      <c r="AI11">
        <v>0</v>
      </c>
    </row>
    <row r="12" spans="1:35" x14ac:dyDescent="0.2">
      <c r="A12" t="s">
        <v>37</v>
      </c>
      <c r="B12">
        <v>48</v>
      </c>
      <c r="C12">
        <v>7</v>
      </c>
      <c r="D12">
        <v>4</v>
      </c>
      <c r="E12">
        <v>0</v>
      </c>
      <c r="F12">
        <v>29</v>
      </c>
      <c r="G12">
        <v>38</v>
      </c>
      <c r="H12">
        <v>0</v>
      </c>
      <c r="I12">
        <v>11</v>
      </c>
      <c r="J12">
        <v>1</v>
      </c>
      <c r="K12">
        <v>0</v>
      </c>
      <c r="L12">
        <v>0</v>
      </c>
      <c r="M12">
        <v>0</v>
      </c>
      <c r="N12">
        <v>21</v>
      </c>
      <c r="O12">
        <v>4</v>
      </c>
      <c r="P12">
        <v>0</v>
      </c>
      <c r="Q12">
        <v>4</v>
      </c>
      <c r="R12">
        <v>5</v>
      </c>
      <c r="S12">
        <v>4</v>
      </c>
      <c r="T12">
        <v>10</v>
      </c>
      <c r="U12">
        <v>1</v>
      </c>
      <c r="V12">
        <v>0</v>
      </c>
      <c r="W12">
        <v>0</v>
      </c>
      <c r="X12">
        <v>1</v>
      </c>
      <c r="Y12">
        <v>0</v>
      </c>
      <c r="Z12">
        <v>17</v>
      </c>
      <c r="AA12">
        <v>0</v>
      </c>
      <c r="AB12">
        <v>0</v>
      </c>
      <c r="AC12">
        <v>0</v>
      </c>
      <c r="AD12">
        <v>6</v>
      </c>
      <c r="AE12">
        <v>3</v>
      </c>
      <c r="AF12">
        <v>2</v>
      </c>
      <c r="AG12">
        <v>0</v>
      </c>
      <c r="AH12">
        <v>0</v>
      </c>
      <c r="AI12">
        <v>1</v>
      </c>
    </row>
    <row r="13" spans="1:35" x14ac:dyDescent="0.2">
      <c r="A13" t="s">
        <v>29</v>
      </c>
      <c r="B13">
        <v>60</v>
      </c>
      <c r="C13">
        <v>2</v>
      </c>
      <c r="D13">
        <v>46</v>
      </c>
      <c r="E13">
        <v>0</v>
      </c>
      <c r="F13">
        <v>0</v>
      </c>
      <c r="G13">
        <v>1</v>
      </c>
      <c r="H13">
        <v>12</v>
      </c>
      <c r="I13">
        <v>0</v>
      </c>
      <c r="J13">
        <v>3</v>
      </c>
      <c r="K13">
        <v>1</v>
      </c>
      <c r="L13">
        <v>1</v>
      </c>
      <c r="M13">
        <v>0</v>
      </c>
      <c r="N13">
        <v>0</v>
      </c>
      <c r="O13">
        <v>3</v>
      </c>
      <c r="P13">
        <v>0</v>
      </c>
      <c r="Q13">
        <v>4</v>
      </c>
      <c r="R13">
        <v>15</v>
      </c>
      <c r="S13">
        <v>1</v>
      </c>
      <c r="T13">
        <v>0</v>
      </c>
      <c r="U13">
        <v>0</v>
      </c>
      <c r="V13">
        <v>14</v>
      </c>
      <c r="W13">
        <v>7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 t="s">
        <v>16</v>
      </c>
      <c r="B14">
        <v>5</v>
      </c>
      <c r="C14">
        <v>6</v>
      </c>
      <c r="D14">
        <v>4</v>
      </c>
      <c r="E14">
        <v>3</v>
      </c>
      <c r="F14">
        <v>0</v>
      </c>
      <c r="G14">
        <v>0</v>
      </c>
      <c r="H14">
        <v>3</v>
      </c>
      <c r="I14">
        <v>2</v>
      </c>
      <c r="J14">
        <v>4</v>
      </c>
      <c r="K14">
        <v>4</v>
      </c>
      <c r="L14">
        <v>2</v>
      </c>
      <c r="M14">
        <v>33</v>
      </c>
      <c r="N14">
        <v>0</v>
      </c>
      <c r="O14">
        <v>0</v>
      </c>
      <c r="P14">
        <v>5</v>
      </c>
      <c r="Q14">
        <v>7</v>
      </c>
      <c r="R14">
        <v>4</v>
      </c>
      <c r="S14">
        <v>0</v>
      </c>
      <c r="T14">
        <v>0</v>
      </c>
      <c r="U14">
        <v>0</v>
      </c>
      <c r="V14">
        <v>0</v>
      </c>
      <c r="W14">
        <v>5</v>
      </c>
      <c r="X14">
        <v>2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2</v>
      </c>
    </row>
    <row r="15" spans="1:35" x14ac:dyDescent="0.2">
      <c r="A15" t="s">
        <v>30</v>
      </c>
      <c r="B15">
        <v>84</v>
      </c>
      <c r="C15">
        <v>5</v>
      </c>
      <c r="D15">
        <v>63</v>
      </c>
      <c r="E15">
        <v>2</v>
      </c>
      <c r="F15">
        <v>0</v>
      </c>
      <c r="G15">
        <v>0</v>
      </c>
      <c r="H15">
        <v>8</v>
      </c>
      <c r="I15">
        <v>3</v>
      </c>
      <c r="J15">
        <v>0</v>
      </c>
      <c r="K15">
        <v>3</v>
      </c>
      <c r="L15">
        <v>0</v>
      </c>
      <c r="M15">
        <v>3</v>
      </c>
      <c r="N15">
        <v>0</v>
      </c>
      <c r="O15">
        <v>0</v>
      </c>
      <c r="P15">
        <v>6</v>
      </c>
      <c r="Q15">
        <v>0</v>
      </c>
      <c r="R15">
        <v>1</v>
      </c>
      <c r="S15">
        <v>0</v>
      </c>
      <c r="T15">
        <v>0</v>
      </c>
      <c r="U15">
        <v>9</v>
      </c>
      <c r="V15">
        <v>0</v>
      </c>
      <c r="W15">
        <v>8</v>
      </c>
      <c r="X15">
        <v>0</v>
      </c>
      <c r="Y15">
        <v>0</v>
      </c>
      <c r="Z15">
        <v>0</v>
      </c>
      <c r="AA15">
        <v>17</v>
      </c>
      <c r="AB15">
        <v>0</v>
      </c>
      <c r="AC15">
        <v>0</v>
      </c>
      <c r="AD15">
        <v>0</v>
      </c>
      <c r="AE15">
        <v>2</v>
      </c>
      <c r="AF15">
        <v>1</v>
      </c>
      <c r="AG15">
        <v>0</v>
      </c>
      <c r="AH15">
        <v>3</v>
      </c>
      <c r="AI15">
        <v>0</v>
      </c>
    </row>
    <row r="16" spans="1:35" x14ac:dyDescent="0.2">
      <c r="A16" t="s">
        <v>12</v>
      </c>
      <c r="B16">
        <v>26</v>
      </c>
      <c r="C16">
        <v>63</v>
      </c>
      <c r="D16">
        <v>13</v>
      </c>
      <c r="E16">
        <v>1</v>
      </c>
      <c r="F16">
        <v>2</v>
      </c>
      <c r="G16">
        <v>33</v>
      </c>
      <c r="H16">
        <v>2</v>
      </c>
      <c r="I16">
        <v>0</v>
      </c>
      <c r="J16">
        <v>0</v>
      </c>
      <c r="K16">
        <v>0</v>
      </c>
      <c r="L16">
        <v>0</v>
      </c>
      <c r="M16">
        <v>5</v>
      </c>
      <c r="N16">
        <v>42</v>
      </c>
      <c r="O16">
        <v>0</v>
      </c>
      <c r="P16">
        <v>0</v>
      </c>
      <c r="Q16">
        <v>0</v>
      </c>
      <c r="R16">
        <v>30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">
      <c r="A17" t="s">
        <v>57</v>
      </c>
      <c r="B17">
        <v>15</v>
      </c>
      <c r="C17">
        <v>7</v>
      </c>
      <c r="D17">
        <v>15</v>
      </c>
      <c r="E17">
        <v>0</v>
      </c>
      <c r="F17">
        <v>0</v>
      </c>
      <c r="G17">
        <v>23</v>
      </c>
      <c r="H17">
        <v>0</v>
      </c>
      <c r="I17">
        <v>0</v>
      </c>
      <c r="J17">
        <v>3</v>
      </c>
      <c r="K17">
        <v>0</v>
      </c>
      <c r="L17">
        <v>19</v>
      </c>
      <c r="M17">
        <v>0</v>
      </c>
      <c r="N17">
        <v>20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3</v>
      </c>
      <c r="X17">
        <v>0</v>
      </c>
      <c r="Y17">
        <v>0</v>
      </c>
      <c r="Z17">
        <v>12</v>
      </c>
      <c r="AA17">
        <v>0</v>
      </c>
      <c r="AB17">
        <v>12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">
      <c r="A18" t="s">
        <v>42</v>
      </c>
      <c r="B18">
        <v>48</v>
      </c>
      <c r="C18">
        <v>3</v>
      </c>
      <c r="D18">
        <v>0</v>
      </c>
      <c r="E18">
        <v>0</v>
      </c>
      <c r="F18">
        <v>36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27</v>
      </c>
      <c r="H19">
        <v>0</v>
      </c>
      <c r="I19">
        <v>0</v>
      </c>
      <c r="J19">
        <v>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12</v>
      </c>
      <c r="R19">
        <v>0</v>
      </c>
      <c r="S19">
        <v>0</v>
      </c>
      <c r="T19">
        <v>32</v>
      </c>
      <c r="U19">
        <v>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">
      <c r="A20" t="s">
        <v>56</v>
      </c>
      <c r="B20">
        <v>6</v>
      </c>
      <c r="C20">
        <v>32</v>
      </c>
      <c r="D20">
        <v>3</v>
      </c>
      <c r="E20">
        <v>10</v>
      </c>
      <c r="F20">
        <v>0</v>
      </c>
      <c r="G20">
        <v>0</v>
      </c>
      <c r="H20">
        <v>3</v>
      </c>
      <c r="I20">
        <v>0</v>
      </c>
      <c r="J20">
        <v>0</v>
      </c>
      <c r="K20">
        <v>9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conditionalFormatting sqref="A1:AI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83BB-FF24-1F44-8372-40FF146EA40A}">
  <dimension ref="A1:AI20"/>
  <sheetViews>
    <sheetView workbookViewId="0">
      <selection activeCell="G49" sqref="G49"/>
    </sheetView>
  </sheetViews>
  <sheetFormatPr baseColWidth="10" defaultColWidth="5.6640625" defaultRowHeight="16" x14ac:dyDescent="0.2"/>
  <sheetData>
    <row r="1" spans="1:35" x14ac:dyDescent="0.2">
      <c r="B1" t="s">
        <v>25</v>
      </c>
      <c r="C1" t="s">
        <v>6</v>
      </c>
      <c r="D1" t="s">
        <v>26</v>
      </c>
      <c r="E1" t="s">
        <v>92</v>
      </c>
      <c r="F1" t="s">
        <v>24</v>
      </c>
      <c r="G1" t="s">
        <v>23</v>
      </c>
      <c r="H1" t="s">
        <v>99</v>
      </c>
      <c r="I1" t="s">
        <v>49</v>
      </c>
      <c r="J1" t="s">
        <v>27</v>
      </c>
      <c r="K1" t="s">
        <v>34</v>
      </c>
      <c r="L1" t="s">
        <v>91</v>
      </c>
      <c r="M1" t="s">
        <v>61</v>
      </c>
      <c r="N1" t="s">
        <v>75</v>
      </c>
      <c r="O1" t="s">
        <v>50</v>
      </c>
      <c r="P1" t="s">
        <v>20</v>
      </c>
      <c r="Q1" t="s">
        <v>68</v>
      </c>
      <c r="R1" t="s">
        <v>126</v>
      </c>
      <c r="S1" t="s">
        <v>133</v>
      </c>
      <c r="T1" t="s">
        <v>17</v>
      </c>
      <c r="U1" t="s">
        <v>28</v>
      </c>
      <c r="V1" t="s">
        <v>94</v>
      </c>
      <c r="W1" t="s">
        <v>110</v>
      </c>
      <c r="X1" t="s">
        <v>55</v>
      </c>
      <c r="Y1" t="s">
        <v>59</v>
      </c>
      <c r="Z1" t="s">
        <v>18</v>
      </c>
      <c r="AA1" t="s">
        <v>79</v>
      </c>
      <c r="AB1" t="s">
        <v>95</v>
      </c>
      <c r="AC1" t="s">
        <v>63</v>
      </c>
      <c r="AD1" t="s">
        <v>93</v>
      </c>
      <c r="AE1" t="s">
        <v>19</v>
      </c>
      <c r="AF1" t="s">
        <v>106</v>
      </c>
      <c r="AG1" t="s">
        <v>58</v>
      </c>
      <c r="AH1" t="s">
        <v>67</v>
      </c>
      <c r="AI1" t="s">
        <v>81</v>
      </c>
    </row>
    <row r="2" spans="1:35" x14ac:dyDescent="0.2">
      <c r="A2" t="s">
        <v>1</v>
      </c>
      <c r="B2">
        <v>1263</v>
      </c>
      <c r="C2">
        <v>345</v>
      </c>
      <c r="D2">
        <v>70</v>
      </c>
      <c r="E2">
        <v>294</v>
      </c>
      <c r="F2">
        <v>529</v>
      </c>
      <c r="G2">
        <v>356</v>
      </c>
      <c r="H2">
        <v>338</v>
      </c>
      <c r="I2">
        <v>54</v>
      </c>
      <c r="J2">
        <v>170</v>
      </c>
      <c r="K2">
        <v>98</v>
      </c>
      <c r="L2">
        <v>208</v>
      </c>
      <c r="M2">
        <v>95</v>
      </c>
      <c r="N2">
        <v>0</v>
      </c>
      <c r="O2">
        <v>177</v>
      </c>
      <c r="P2">
        <v>43</v>
      </c>
      <c r="Q2">
        <v>100</v>
      </c>
      <c r="R2">
        <v>99</v>
      </c>
      <c r="S2">
        <v>65</v>
      </c>
      <c r="T2">
        <v>226</v>
      </c>
      <c r="U2">
        <v>76</v>
      </c>
      <c r="V2">
        <v>268</v>
      </c>
      <c r="W2">
        <v>253</v>
      </c>
      <c r="X2">
        <v>45</v>
      </c>
      <c r="Y2">
        <v>45</v>
      </c>
      <c r="Z2">
        <v>0</v>
      </c>
      <c r="AA2">
        <v>169</v>
      </c>
      <c r="AB2">
        <v>1130</v>
      </c>
      <c r="AC2">
        <v>21</v>
      </c>
      <c r="AD2">
        <v>0</v>
      </c>
      <c r="AE2">
        <v>0</v>
      </c>
      <c r="AF2">
        <v>307</v>
      </c>
      <c r="AG2">
        <v>64</v>
      </c>
      <c r="AH2">
        <v>0</v>
      </c>
      <c r="AI2">
        <v>162</v>
      </c>
    </row>
    <row r="3" spans="1:35" x14ac:dyDescent="0.2">
      <c r="A3" t="s">
        <v>32</v>
      </c>
      <c r="B3">
        <v>158</v>
      </c>
      <c r="C3">
        <v>370</v>
      </c>
      <c r="D3">
        <v>135</v>
      </c>
      <c r="E3">
        <v>168</v>
      </c>
      <c r="F3">
        <v>509</v>
      </c>
      <c r="G3">
        <v>167</v>
      </c>
      <c r="H3">
        <v>211</v>
      </c>
      <c r="I3">
        <v>23</v>
      </c>
      <c r="J3">
        <v>279</v>
      </c>
      <c r="K3">
        <v>1123</v>
      </c>
      <c r="L3">
        <v>311</v>
      </c>
      <c r="M3">
        <v>109</v>
      </c>
      <c r="N3">
        <v>27</v>
      </c>
      <c r="O3">
        <v>38</v>
      </c>
      <c r="P3">
        <v>69</v>
      </c>
      <c r="Q3">
        <v>341</v>
      </c>
      <c r="R3">
        <v>627</v>
      </c>
      <c r="S3">
        <v>153</v>
      </c>
      <c r="T3">
        <v>43</v>
      </c>
      <c r="U3">
        <v>83</v>
      </c>
      <c r="V3">
        <v>250</v>
      </c>
      <c r="W3">
        <v>173</v>
      </c>
      <c r="X3">
        <v>95</v>
      </c>
      <c r="Y3">
        <v>16</v>
      </c>
      <c r="Z3">
        <v>0</v>
      </c>
      <c r="AA3">
        <v>33</v>
      </c>
      <c r="AB3">
        <v>98</v>
      </c>
      <c r="AC3">
        <v>172</v>
      </c>
      <c r="AD3">
        <v>99</v>
      </c>
      <c r="AE3">
        <v>0</v>
      </c>
      <c r="AF3">
        <v>183</v>
      </c>
      <c r="AG3">
        <v>60</v>
      </c>
      <c r="AH3">
        <v>13</v>
      </c>
      <c r="AI3">
        <v>0</v>
      </c>
    </row>
    <row r="4" spans="1:35" x14ac:dyDescent="0.2">
      <c r="A4" t="s">
        <v>8</v>
      </c>
      <c r="B4">
        <v>2107</v>
      </c>
      <c r="C4">
        <v>92</v>
      </c>
      <c r="D4">
        <v>218</v>
      </c>
      <c r="E4">
        <v>244</v>
      </c>
      <c r="F4">
        <v>89</v>
      </c>
      <c r="G4">
        <v>128</v>
      </c>
      <c r="H4">
        <v>311</v>
      </c>
      <c r="I4">
        <v>55</v>
      </c>
      <c r="J4">
        <v>222</v>
      </c>
      <c r="K4">
        <v>58</v>
      </c>
      <c r="L4">
        <v>85</v>
      </c>
      <c r="M4">
        <v>71</v>
      </c>
      <c r="N4">
        <v>37</v>
      </c>
      <c r="O4">
        <v>110</v>
      </c>
      <c r="P4">
        <v>151</v>
      </c>
      <c r="Q4">
        <v>168</v>
      </c>
      <c r="R4">
        <v>14</v>
      </c>
      <c r="S4">
        <v>62</v>
      </c>
      <c r="T4">
        <v>26</v>
      </c>
      <c r="U4">
        <v>128</v>
      </c>
      <c r="V4">
        <v>0</v>
      </c>
      <c r="W4">
        <v>68</v>
      </c>
      <c r="X4">
        <v>75</v>
      </c>
      <c r="Y4">
        <v>48</v>
      </c>
      <c r="Z4">
        <v>15</v>
      </c>
      <c r="AA4">
        <v>617</v>
      </c>
      <c r="AB4">
        <v>0</v>
      </c>
      <c r="AC4">
        <v>35</v>
      </c>
      <c r="AD4">
        <v>0</v>
      </c>
      <c r="AE4">
        <v>71</v>
      </c>
      <c r="AF4">
        <v>58</v>
      </c>
      <c r="AG4">
        <v>137</v>
      </c>
      <c r="AH4">
        <v>28</v>
      </c>
      <c r="AI4">
        <v>27</v>
      </c>
    </row>
    <row r="5" spans="1:35" x14ac:dyDescent="0.2">
      <c r="A5" t="s">
        <v>120</v>
      </c>
      <c r="B5">
        <v>21</v>
      </c>
      <c r="C5">
        <v>173</v>
      </c>
      <c r="D5">
        <v>16</v>
      </c>
      <c r="E5">
        <v>355</v>
      </c>
      <c r="F5">
        <v>606</v>
      </c>
      <c r="G5">
        <v>461</v>
      </c>
      <c r="H5">
        <v>19</v>
      </c>
      <c r="I5">
        <v>415</v>
      </c>
      <c r="J5">
        <v>0</v>
      </c>
      <c r="K5">
        <v>155</v>
      </c>
      <c r="L5">
        <v>171</v>
      </c>
      <c r="M5">
        <v>117</v>
      </c>
      <c r="N5">
        <v>0</v>
      </c>
      <c r="O5">
        <v>27</v>
      </c>
      <c r="P5">
        <v>35</v>
      </c>
      <c r="Q5">
        <v>0</v>
      </c>
      <c r="R5">
        <v>0</v>
      </c>
      <c r="S5">
        <v>12</v>
      </c>
      <c r="T5">
        <v>411</v>
      </c>
      <c r="U5">
        <v>0</v>
      </c>
      <c r="V5">
        <v>27</v>
      </c>
      <c r="W5">
        <v>0</v>
      </c>
      <c r="X5">
        <v>1212</v>
      </c>
      <c r="Y5">
        <v>14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421</v>
      </c>
      <c r="AH5">
        <v>0</v>
      </c>
      <c r="AI5">
        <v>0</v>
      </c>
    </row>
    <row r="6" spans="1:35" x14ac:dyDescent="0.2">
      <c r="A6" t="s">
        <v>51</v>
      </c>
      <c r="B6">
        <v>23</v>
      </c>
      <c r="C6">
        <v>342</v>
      </c>
      <c r="D6">
        <v>51</v>
      </c>
      <c r="E6">
        <v>250</v>
      </c>
      <c r="F6">
        <v>1036</v>
      </c>
      <c r="G6">
        <v>64</v>
      </c>
      <c r="H6">
        <v>49</v>
      </c>
      <c r="I6">
        <v>418</v>
      </c>
      <c r="J6">
        <v>136</v>
      </c>
      <c r="K6">
        <v>708</v>
      </c>
      <c r="L6">
        <v>91</v>
      </c>
      <c r="M6">
        <v>469</v>
      </c>
      <c r="N6">
        <v>0</v>
      </c>
      <c r="O6">
        <v>39</v>
      </c>
      <c r="P6">
        <v>14</v>
      </c>
      <c r="Q6">
        <v>131</v>
      </c>
      <c r="R6">
        <v>0</v>
      </c>
      <c r="S6">
        <v>0</v>
      </c>
      <c r="T6">
        <v>257</v>
      </c>
      <c r="U6">
        <v>320</v>
      </c>
      <c r="V6">
        <v>140</v>
      </c>
      <c r="W6">
        <v>0</v>
      </c>
      <c r="X6">
        <v>35</v>
      </c>
      <c r="Y6">
        <v>18</v>
      </c>
      <c r="Z6">
        <v>198</v>
      </c>
      <c r="AA6">
        <v>0</v>
      </c>
      <c r="AB6">
        <v>19</v>
      </c>
      <c r="AC6">
        <v>422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9</v>
      </c>
      <c r="B7">
        <v>126</v>
      </c>
      <c r="C7">
        <v>102</v>
      </c>
      <c r="D7">
        <v>49</v>
      </c>
      <c r="E7">
        <v>101</v>
      </c>
      <c r="F7">
        <v>262</v>
      </c>
      <c r="G7">
        <v>34</v>
      </c>
      <c r="H7">
        <v>44</v>
      </c>
      <c r="I7">
        <v>422</v>
      </c>
      <c r="J7">
        <v>31</v>
      </c>
      <c r="K7">
        <v>81</v>
      </c>
      <c r="L7">
        <v>16</v>
      </c>
      <c r="M7">
        <v>20</v>
      </c>
      <c r="N7">
        <v>463</v>
      </c>
      <c r="O7">
        <v>494</v>
      </c>
      <c r="P7">
        <v>0</v>
      </c>
      <c r="Q7">
        <v>26</v>
      </c>
      <c r="R7">
        <v>111</v>
      </c>
      <c r="S7">
        <v>364</v>
      </c>
      <c r="T7">
        <v>17</v>
      </c>
      <c r="U7">
        <v>0</v>
      </c>
      <c r="V7">
        <v>129</v>
      </c>
      <c r="W7">
        <v>235</v>
      </c>
      <c r="X7">
        <v>0</v>
      </c>
      <c r="Y7">
        <v>0</v>
      </c>
      <c r="Z7">
        <v>0</v>
      </c>
      <c r="AA7">
        <v>17</v>
      </c>
      <c r="AB7">
        <v>1323</v>
      </c>
      <c r="AC7">
        <v>7</v>
      </c>
      <c r="AD7">
        <v>79</v>
      </c>
      <c r="AE7">
        <v>0</v>
      </c>
      <c r="AF7">
        <v>285</v>
      </c>
      <c r="AG7">
        <v>0</v>
      </c>
      <c r="AH7">
        <v>0</v>
      </c>
      <c r="AI7">
        <v>144</v>
      </c>
    </row>
    <row r="8" spans="1:35" x14ac:dyDescent="0.2">
      <c r="A8" t="s">
        <v>14</v>
      </c>
      <c r="B8">
        <v>43</v>
      </c>
      <c r="C8">
        <v>40</v>
      </c>
      <c r="D8">
        <v>65</v>
      </c>
      <c r="E8">
        <v>76</v>
      </c>
      <c r="F8">
        <v>55</v>
      </c>
      <c r="G8">
        <v>27</v>
      </c>
      <c r="H8">
        <v>134</v>
      </c>
      <c r="I8">
        <v>22</v>
      </c>
      <c r="J8">
        <v>136</v>
      </c>
      <c r="K8">
        <v>45</v>
      </c>
      <c r="L8">
        <v>225</v>
      </c>
      <c r="M8">
        <v>71</v>
      </c>
      <c r="N8">
        <v>89</v>
      </c>
      <c r="O8">
        <v>52</v>
      </c>
      <c r="P8">
        <v>147</v>
      </c>
      <c r="Q8">
        <v>124</v>
      </c>
      <c r="R8">
        <v>33</v>
      </c>
      <c r="S8">
        <v>17</v>
      </c>
      <c r="T8">
        <v>52</v>
      </c>
      <c r="U8">
        <v>123</v>
      </c>
      <c r="V8">
        <v>57</v>
      </c>
      <c r="W8">
        <v>56</v>
      </c>
      <c r="X8">
        <v>47</v>
      </c>
      <c r="Y8">
        <v>55</v>
      </c>
      <c r="Z8">
        <v>34</v>
      </c>
      <c r="AA8">
        <v>17</v>
      </c>
      <c r="AB8">
        <v>53</v>
      </c>
      <c r="AC8">
        <v>50</v>
      </c>
      <c r="AD8">
        <v>0</v>
      </c>
      <c r="AE8">
        <v>851</v>
      </c>
      <c r="AF8">
        <v>77</v>
      </c>
      <c r="AG8">
        <v>52</v>
      </c>
      <c r="AH8">
        <v>79</v>
      </c>
      <c r="AI8">
        <v>0</v>
      </c>
    </row>
    <row r="9" spans="1:35" x14ac:dyDescent="0.2">
      <c r="A9" t="s">
        <v>13</v>
      </c>
      <c r="B9">
        <v>146</v>
      </c>
      <c r="C9">
        <v>107</v>
      </c>
      <c r="D9">
        <v>11</v>
      </c>
      <c r="E9">
        <v>59</v>
      </c>
      <c r="F9">
        <v>77</v>
      </c>
      <c r="G9">
        <v>1038</v>
      </c>
      <c r="H9">
        <v>45</v>
      </c>
      <c r="I9">
        <v>34</v>
      </c>
      <c r="J9">
        <v>50</v>
      </c>
      <c r="K9">
        <v>66</v>
      </c>
      <c r="L9">
        <v>79</v>
      </c>
      <c r="M9">
        <v>59</v>
      </c>
      <c r="N9">
        <v>199</v>
      </c>
      <c r="O9">
        <v>0</v>
      </c>
      <c r="P9">
        <v>18</v>
      </c>
      <c r="Q9">
        <v>53</v>
      </c>
      <c r="R9">
        <v>61</v>
      </c>
      <c r="S9">
        <v>45</v>
      </c>
      <c r="T9">
        <v>0</v>
      </c>
      <c r="U9">
        <v>25</v>
      </c>
      <c r="V9">
        <v>0</v>
      </c>
      <c r="W9">
        <v>60</v>
      </c>
      <c r="X9">
        <v>45</v>
      </c>
      <c r="Y9">
        <v>0</v>
      </c>
      <c r="Z9">
        <v>431</v>
      </c>
      <c r="AA9">
        <v>40</v>
      </c>
      <c r="AB9">
        <v>38</v>
      </c>
      <c r="AC9">
        <v>31</v>
      </c>
      <c r="AD9">
        <v>75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10</v>
      </c>
      <c r="B10">
        <v>5</v>
      </c>
      <c r="C10">
        <v>357</v>
      </c>
      <c r="D10">
        <v>33</v>
      </c>
      <c r="E10">
        <v>41</v>
      </c>
      <c r="F10">
        <v>93</v>
      </c>
      <c r="G10">
        <v>49</v>
      </c>
      <c r="H10">
        <v>129</v>
      </c>
      <c r="I10">
        <v>28</v>
      </c>
      <c r="J10">
        <v>19</v>
      </c>
      <c r="K10">
        <v>0</v>
      </c>
      <c r="L10">
        <v>68</v>
      </c>
      <c r="M10">
        <v>0</v>
      </c>
      <c r="N10">
        <v>85</v>
      </c>
      <c r="O10">
        <v>7</v>
      </c>
      <c r="P10">
        <v>0</v>
      </c>
      <c r="Q10">
        <v>0</v>
      </c>
      <c r="R10">
        <v>0</v>
      </c>
      <c r="S10">
        <v>29</v>
      </c>
      <c r="T10">
        <v>46</v>
      </c>
      <c r="U10">
        <v>0</v>
      </c>
      <c r="V10">
        <v>188</v>
      </c>
      <c r="W10">
        <v>0</v>
      </c>
      <c r="X10">
        <v>0</v>
      </c>
      <c r="Y10">
        <v>83</v>
      </c>
      <c r="Z10">
        <v>32</v>
      </c>
      <c r="AA10">
        <v>21</v>
      </c>
      <c r="AB10">
        <v>0</v>
      </c>
      <c r="AC10">
        <v>0</v>
      </c>
      <c r="AD10">
        <v>0</v>
      </c>
      <c r="AE10">
        <v>109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11</v>
      </c>
      <c r="B11">
        <v>11</v>
      </c>
      <c r="C11">
        <v>78</v>
      </c>
      <c r="D11">
        <v>0</v>
      </c>
      <c r="E11">
        <v>90</v>
      </c>
      <c r="F11">
        <v>14</v>
      </c>
      <c r="G11">
        <v>10</v>
      </c>
      <c r="H11">
        <v>0</v>
      </c>
      <c r="I11">
        <v>0</v>
      </c>
      <c r="J11">
        <v>0</v>
      </c>
      <c r="K11">
        <v>0</v>
      </c>
      <c r="L11">
        <v>47</v>
      </c>
      <c r="M11">
        <v>62</v>
      </c>
      <c r="N11">
        <v>183</v>
      </c>
      <c r="O11">
        <v>44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230</v>
      </c>
      <c r="W11">
        <v>0</v>
      </c>
      <c r="X11">
        <v>0</v>
      </c>
      <c r="Y11">
        <v>83</v>
      </c>
      <c r="Z11">
        <v>54</v>
      </c>
      <c r="AA11">
        <v>0</v>
      </c>
      <c r="AB11">
        <v>0</v>
      </c>
      <c r="AC11">
        <v>0</v>
      </c>
      <c r="AD11">
        <v>22</v>
      </c>
      <c r="AE11">
        <v>0</v>
      </c>
      <c r="AF11">
        <v>0</v>
      </c>
      <c r="AG11">
        <v>0</v>
      </c>
      <c r="AH11">
        <v>133</v>
      </c>
      <c r="AI11">
        <v>0</v>
      </c>
    </row>
    <row r="12" spans="1:35" x14ac:dyDescent="0.2">
      <c r="A12" t="s">
        <v>37</v>
      </c>
      <c r="B12">
        <v>195</v>
      </c>
      <c r="C12">
        <v>31</v>
      </c>
      <c r="D12">
        <v>18</v>
      </c>
      <c r="E12">
        <v>30</v>
      </c>
      <c r="F12">
        <v>188</v>
      </c>
      <c r="G12">
        <v>96</v>
      </c>
      <c r="H12">
        <v>0</v>
      </c>
      <c r="I12">
        <v>44</v>
      </c>
      <c r="J12">
        <v>5</v>
      </c>
      <c r="K12">
        <v>12</v>
      </c>
      <c r="L12">
        <v>0</v>
      </c>
      <c r="M12">
        <v>0</v>
      </c>
      <c r="N12">
        <v>57</v>
      </c>
      <c r="O12">
        <v>20</v>
      </c>
      <c r="P12">
        <v>14</v>
      </c>
      <c r="Q12">
        <v>32</v>
      </c>
      <c r="R12">
        <v>28</v>
      </c>
      <c r="S12">
        <v>22</v>
      </c>
      <c r="T12">
        <v>44</v>
      </c>
      <c r="U12">
        <v>7</v>
      </c>
      <c r="V12">
        <v>0</v>
      </c>
      <c r="W12">
        <v>0</v>
      </c>
      <c r="X12">
        <v>18</v>
      </c>
      <c r="Y12">
        <v>0</v>
      </c>
      <c r="Z12">
        <v>172</v>
      </c>
      <c r="AA12">
        <v>0</v>
      </c>
      <c r="AB12">
        <v>0</v>
      </c>
      <c r="AC12">
        <v>0</v>
      </c>
      <c r="AD12">
        <v>29</v>
      </c>
      <c r="AE12">
        <v>12</v>
      </c>
      <c r="AF12">
        <v>13</v>
      </c>
      <c r="AG12">
        <v>0</v>
      </c>
      <c r="AH12">
        <v>0</v>
      </c>
      <c r="AI12">
        <v>6</v>
      </c>
    </row>
    <row r="13" spans="1:35" x14ac:dyDescent="0.2">
      <c r="A13" t="s">
        <v>29</v>
      </c>
      <c r="B13">
        <v>212</v>
      </c>
      <c r="C13">
        <v>28</v>
      </c>
      <c r="D13">
        <v>143</v>
      </c>
      <c r="E13">
        <v>0</v>
      </c>
      <c r="F13">
        <v>0</v>
      </c>
      <c r="G13">
        <v>25</v>
      </c>
      <c r="H13">
        <v>56</v>
      </c>
      <c r="I13">
        <v>0</v>
      </c>
      <c r="J13">
        <v>19</v>
      </c>
      <c r="K13">
        <v>7</v>
      </c>
      <c r="L13">
        <v>15</v>
      </c>
      <c r="M13">
        <v>0</v>
      </c>
      <c r="N13">
        <v>0</v>
      </c>
      <c r="O13">
        <v>58</v>
      </c>
      <c r="P13">
        <v>0</v>
      </c>
      <c r="Q13">
        <v>91</v>
      </c>
      <c r="R13">
        <v>139</v>
      </c>
      <c r="S13">
        <v>30</v>
      </c>
      <c r="T13">
        <v>0</v>
      </c>
      <c r="U13">
        <v>37</v>
      </c>
      <c r="V13">
        <v>117</v>
      </c>
      <c r="W13">
        <v>28</v>
      </c>
      <c r="X13">
        <v>0</v>
      </c>
      <c r="Y13">
        <v>28</v>
      </c>
      <c r="Z13">
        <v>0</v>
      </c>
      <c r="AA13">
        <v>0</v>
      </c>
      <c r="AB13">
        <v>20</v>
      </c>
      <c r="AC13">
        <v>0</v>
      </c>
      <c r="AD13">
        <v>0</v>
      </c>
      <c r="AE13">
        <v>12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 t="s">
        <v>16</v>
      </c>
      <c r="B14">
        <v>51</v>
      </c>
      <c r="C14">
        <v>73</v>
      </c>
      <c r="D14">
        <v>36</v>
      </c>
      <c r="E14">
        <v>105</v>
      </c>
      <c r="F14">
        <v>44</v>
      </c>
      <c r="G14">
        <v>0</v>
      </c>
      <c r="H14">
        <v>71</v>
      </c>
      <c r="I14">
        <v>15</v>
      </c>
      <c r="J14">
        <v>59</v>
      </c>
      <c r="K14">
        <v>35</v>
      </c>
      <c r="L14">
        <v>51</v>
      </c>
      <c r="M14">
        <v>135</v>
      </c>
      <c r="N14">
        <v>20</v>
      </c>
      <c r="O14">
        <v>0</v>
      </c>
      <c r="P14">
        <v>45</v>
      </c>
      <c r="Q14">
        <v>79</v>
      </c>
      <c r="R14">
        <v>55</v>
      </c>
      <c r="S14">
        <v>15</v>
      </c>
      <c r="T14">
        <v>0</v>
      </c>
      <c r="U14">
        <v>0</v>
      </c>
      <c r="V14">
        <v>0</v>
      </c>
      <c r="W14">
        <v>43</v>
      </c>
      <c r="X14">
        <v>26</v>
      </c>
      <c r="Y14">
        <v>0</v>
      </c>
      <c r="Z14">
        <v>7</v>
      </c>
      <c r="AA14">
        <v>22</v>
      </c>
      <c r="AB14">
        <v>18</v>
      </c>
      <c r="AC14">
        <v>0</v>
      </c>
      <c r="AD14">
        <v>0</v>
      </c>
      <c r="AE14">
        <v>29</v>
      </c>
      <c r="AF14">
        <v>0</v>
      </c>
      <c r="AG14">
        <v>0</v>
      </c>
      <c r="AH14">
        <v>0</v>
      </c>
      <c r="AI14">
        <v>22</v>
      </c>
    </row>
    <row r="15" spans="1:35" x14ac:dyDescent="0.2">
      <c r="A15" t="s">
        <v>30</v>
      </c>
      <c r="B15">
        <v>392</v>
      </c>
      <c r="C15">
        <v>14</v>
      </c>
      <c r="D15">
        <v>211</v>
      </c>
      <c r="E15">
        <v>19</v>
      </c>
      <c r="F15">
        <v>0</v>
      </c>
      <c r="G15">
        <v>0</v>
      </c>
      <c r="H15">
        <v>50</v>
      </c>
      <c r="I15">
        <v>18</v>
      </c>
      <c r="J15">
        <v>11</v>
      </c>
      <c r="K15">
        <v>23</v>
      </c>
      <c r="L15">
        <v>0</v>
      </c>
      <c r="M15">
        <v>16</v>
      </c>
      <c r="N15">
        <v>0</v>
      </c>
      <c r="O15">
        <v>0</v>
      </c>
      <c r="P15">
        <v>31</v>
      </c>
      <c r="Q15">
        <v>0</v>
      </c>
      <c r="R15">
        <v>41</v>
      </c>
      <c r="S15">
        <v>0</v>
      </c>
      <c r="T15">
        <v>0</v>
      </c>
      <c r="U15">
        <v>72</v>
      </c>
      <c r="V15">
        <v>0</v>
      </c>
      <c r="W15">
        <v>33</v>
      </c>
      <c r="X15">
        <v>0</v>
      </c>
      <c r="Y15">
        <v>0</v>
      </c>
      <c r="Z15">
        <v>0</v>
      </c>
      <c r="AA15">
        <v>37</v>
      </c>
      <c r="AB15">
        <v>0</v>
      </c>
      <c r="AC15">
        <v>0</v>
      </c>
      <c r="AD15">
        <v>20</v>
      </c>
      <c r="AE15">
        <v>15</v>
      </c>
      <c r="AF15">
        <v>16</v>
      </c>
      <c r="AG15">
        <v>0</v>
      </c>
      <c r="AH15">
        <v>11</v>
      </c>
      <c r="AI15">
        <v>0</v>
      </c>
    </row>
    <row r="16" spans="1:35" x14ac:dyDescent="0.2">
      <c r="A16" t="s">
        <v>12</v>
      </c>
      <c r="B16">
        <v>74</v>
      </c>
      <c r="C16">
        <v>290</v>
      </c>
      <c r="D16">
        <v>51</v>
      </c>
      <c r="E16">
        <v>33</v>
      </c>
      <c r="F16">
        <v>10</v>
      </c>
      <c r="G16">
        <v>111</v>
      </c>
      <c r="H16">
        <v>16</v>
      </c>
      <c r="I16">
        <v>10</v>
      </c>
      <c r="J16">
        <v>0</v>
      </c>
      <c r="K16">
        <v>0</v>
      </c>
      <c r="L16">
        <v>0</v>
      </c>
      <c r="M16">
        <v>28</v>
      </c>
      <c r="N16">
        <v>120</v>
      </c>
      <c r="O16">
        <v>0</v>
      </c>
      <c r="P16">
        <v>0</v>
      </c>
      <c r="Q16">
        <v>0</v>
      </c>
      <c r="R16">
        <v>99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">
      <c r="A17" t="s">
        <v>57</v>
      </c>
      <c r="B17">
        <v>36</v>
      </c>
      <c r="C17">
        <v>39</v>
      </c>
      <c r="D17">
        <v>58</v>
      </c>
      <c r="E17">
        <v>20</v>
      </c>
      <c r="F17">
        <v>0</v>
      </c>
      <c r="G17">
        <v>65</v>
      </c>
      <c r="H17">
        <v>0</v>
      </c>
      <c r="I17">
        <v>0</v>
      </c>
      <c r="J17">
        <v>19</v>
      </c>
      <c r="K17">
        <v>0</v>
      </c>
      <c r="L17">
        <v>86</v>
      </c>
      <c r="M17">
        <v>0</v>
      </c>
      <c r="N17">
        <v>112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26</v>
      </c>
      <c r="W17">
        <v>22</v>
      </c>
      <c r="X17">
        <v>0</v>
      </c>
      <c r="Y17">
        <v>0</v>
      </c>
      <c r="Z17">
        <v>80</v>
      </c>
      <c r="AA17">
        <v>0</v>
      </c>
      <c r="AB17">
        <v>42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">
      <c r="A18" t="s">
        <v>42</v>
      </c>
      <c r="B18">
        <v>195</v>
      </c>
      <c r="C18">
        <v>9</v>
      </c>
      <c r="D18">
        <v>0</v>
      </c>
      <c r="E18">
        <v>0</v>
      </c>
      <c r="F18">
        <v>187</v>
      </c>
      <c r="G18">
        <v>0</v>
      </c>
      <c r="H18">
        <v>10</v>
      </c>
      <c r="I18">
        <v>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43</v>
      </c>
      <c r="B19">
        <v>0</v>
      </c>
      <c r="C19">
        <v>0</v>
      </c>
      <c r="D19">
        <v>0</v>
      </c>
      <c r="E19">
        <v>0</v>
      </c>
      <c r="F19">
        <v>14</v>
      </c>
      <c r="G19">
        <v>47</v>
      </c>
      <c r="H19">
        <v>0</v>
      </c>
      <c r="I19">
        <v>0</v>
      </c>
      <c r="J19">
        <v>115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44</v>
      </c>
      <c r="R19">
        <v>0</v>
      </c>
      <c r="S19">
        <v>0</v>
      </c>
      <c r="T19">
        <v>56</v>
      </c>
      <c r="U19">
        <v>142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">
      <c r="A20" t="s">
        <v>56</v>
      </c>
      <c r="B20">
        <v>96</v>
      </c>
      <c r="C20">
        <v>139</v>
      </c>
      <c r="D20">
        <v>8</v>
      </c>
      <c r="E20">
        <v>62</v>
      </c>
      <c r="F20">
        <v>0</v>
      </c>
      <c r="G20">
        <v>0</v>
      </c>
      <c r="H20">
        <v>21</v>
      </c>
      <c r="I20">
        <v>0</v>
      </c>
      <c r="J20">
        <v>0</v>
      </c>
      <c r="K20">
        <v>51</v>
      </c>
      <c r="L20">
        <v>0</v>
      </c>
      <c r="M20">
        <v>0</v>
      </c>
      <c r="N20">
        <v>13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conditionalFormatting sqref="A1:AI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18D6-97C7-E349-A255-D16E7CE7540C}">
  <dimension ref="A1:AI20"/>
  <sheetViews>
    <sheetView workbookViewId="0">
      <selection activeCell="H52" sqref="H52"/>
    </sheetView>
  </sheetViews>
  <sheetFormatPr baseColWidth="10" defaultColWidth="5.5" defaultRowHeight="16" x14ac:dyDescent="0.2"/>
  <sheetData>
    <row r="1" spans="1:35" x14ac:dyDescent="0.2">
      <c r="B1" t="s">
        <v>25</v>
      </c>
      <c r="C1" t="s">
        <v>6</v>
      </c>
      <c r="D1" t="s">
        <v>26</v>
      </c>
      <c r="E1" t="s">
        <v>92</v>
      </c>
      <c r="F1" t="s">
        <v>24</v>
      </c>
      <c r="G1" t="s">
        <v>23</v>
      </c>
      <c r="H1" t="s">
        <v>99</v>
      </c>
      <c r="I1" t="s">
        <v>49</v>
      </c>
      <c r="J1" t="s">
        <v>27</v>
      </c>
      <c r="K1" t="s">
        <v>34</v>
      </c>
      <c r="L1" t="s">
        <v>91</v>
      </c>
      <c r="M1" t="s">
        <v>61</v>
      </c>
      <c r="N1" t="s">
        <v>75</v>
      </c>
      <c r="O1" t="s">
        <v>50</v>
      </c>
      <c r="P1" t="s">
        <v>20</v>
      </c>
      <c r="Q1" t="s">
        <v>68</v>
      </c>
      <c r="R1" t="s">
        <v>126</v>
      </c>
      <c r="S1" t="s">
        <v>133</v>
      </c>
      <c r="T1" t="s">
        <v>17</v>
      </c>
      <c r="U1" t="s">
        <v>28</v>
      </c>
      <c r="V1" t="s">
        <v>94</v>
      </c>
      <c r="W1" t="s">
        <v>110</v>
      </c>
      <c r="X1" t="s">
        <v>55</v>
      </c>
      <c r="Y1" t="s">
        <v>59</v>
      </c>
      <c r="Z1" t="s">
        <v>18</v>
      </c>
      <c r="AA1" t="s">
        <v>79</v>
      </c>
      <c r="AB1" t="s">
        <v>95</v>
      </c>
      <c r="AC1" t="s">
        <v>63</v>
      </c>
      <c r="AD1" t="s">
        <v>93</v>
      </c>
      <c r="AE1" t="s">
        <v>19</v>
      </c>
      <c r="AF1" t="s">
        <v>106</v>
      </c>
      <c r="AG1" t="s">
        <v>58</v>
      </c>
      <c r="AH1" t="s">
        <v>67</v>
      </c>
      <c r="AI1" t="s">
        <v>81</v>
      </c>
    </row>
    <row r="2" spans="1:35" x14ac:dyDescent="0.2">
      <c r="A2" t="s">
        <v>1</v>
      </c>
      <c r="B2">
        <v>1142</v>
      </c>
      <c r="C2">
        <v>0</v>
      </c>
      <c r="D2">
        <v>70</v>
      </c>
      <c r="E2">
        <v>0</v>
      </c>
      <c r="F2">
        <v>189</v>
      </c>
      <c r="G2">
        <v>259</v>
      </c>
      <c r="H2">
        <v>0</v>
      </c>
      <c r="I2">
        <v>54</v>
      </c>
      <c r="J2">
        <v>0</v>
      </c>
      <c r="K2">
        <v>98</v>
      </c>
      <c r="L2">
        <v>0</v>
      </c>
      <c r="M2">
        <v>95</v>
      </c>
      <c r="N2">
        <v>0</v>
      </c>
      <c r="O2">
        <v>75</v>
      </c>
      <c r="P2">
        <v>43</v>
      </c>
      <c r="Q2">
        <v>0</v>
      </c>
      <c r="R2">
        <v>0</v>
      </c>
      <c r="S2">
        <v>0</v>
      </c>
      <c r="T2">
        <v>164</v>
      </c>
      <c r="U2">
        <v>0</v>
      </c>
      <c r="V2">
        <v>0</v>
      </c>
      <c r="W2">
        <v>0</v>
      </c>
      <c r="X2">
        <v>45</v>
      </c>
      <c r="Y2">
        <v>45</v>
      </c>
      <c r="Z2">
        <v>0</v>
      </c>
      <c r="AA2">
        <v>0</v>
      </c>
      <c r="AB2">
        <v>0</v>
      </c>
      <c r="AC2">
        <v>21</v>
      </c>
      <c r="AD2">
        <v>0</v>
      </c>
      <c r="AE2">
        <v>0</v>
      </c>
      <c r="AF2">
        <v>0</v>
      </c>
      <c r="AG2">
        <v>49</v>
      </c>
      <c r="AH2">
        <v>0</v>
      </c>
      <c r="AI2">
        <v>0</v>
      </c>
    </row>
    <row r="3" spans="1:35" x14ac:dyDescent="0.2">
      <c r="A3" t="s">
        <v>32</v>
      </c>
      <c r="B3">
        <v>143</v>
      </c>
      <c r="C3">
        <v>0</v>
      </c>
      <c r="D3">
        <v>0</v>
      </c>
      <c r="E3">
        <v>0</v>
      </c>
      <c r="F3">
        <v>509</v>
      </c>
      <c r="G3">
        <v>101</v>
      </c>
      <c r="H3">
        <v>0</v>
      </c>
      <c r="I3">
        <v>23</v>
      </c>
      <c r="J3">
        <v>0</v>
      </c>
      <c r="K3">
        <v>391</v>
      </c>
      <c r="L3">
        <v>0</v>
      </c>
      <c r="M3">
        <v>109</v>
      </c>
      <c r="N3">
        <v>0</v>
      </c>
      <c r="O3">
        <v>0</v>
      </c>
      <c r="P3">
        <v>69</v>
      </c>
      <c r="Q3">
        <v>0</v>
      </c>
      <c r="R3">
        <v>0</v>
      </c>
      <c r="S3">
        <v>0</v>
      </c>
      <c r="T3">
        <v>9</v>
      </c>
      <c r="U3">
        <v>0</v>
      </c>
      <c r="V3">
        <v>0</v>
      </c>
      <c r="W3">
        <v>0</v>
      </c>
      <c r="X3">
        <v>79</v>
      </c>
      <c r="Y3">
        <v>16</v>
      </c>
      <c r="Z3">
        <v>0</v>
      </c>
      <c r="AA3">
        <v>0</v>
      </c>
      <c r="AB3">
        <v>0</v>
      </c>
      <c r="AC3">
        <v>172</v>
      </c>
      <c r="AD3">
        <v>0</v>
      </c>
      <c r="AE3">
        <v>0</v>
      </c>
      <c r="AF3">
        <v>0</v>
      </c>
      <c r="AG3">
        <v>43</v>
      </c>
      <c r="AH3">
        <v>0</v>
      </c>
      <c r="AI3">
        <v>0</v>
      </c>
    </row>
    <row r="4" spans="1:35" x14ac:dyDescent="0.2">
      <c r="A4" t="s">
        <v>8</v>
      </c>
      <c r="B4">
        <v>1255</v>
      </c>
      <c r="C4">
        <v>0</v>
      </c>
      <c r="D4">
        <v>58</v>
      </c>
      <c r="E4">
        <v>0</v>
      </c>
      <c r="F4">
        <v>43</v>
      </c>
      <c r="G4">
        <v>128</v>
      </c>
      <c r="H4">
        <v>0</v>
      </c>
      <c r="I4">
        <v>55</v>
      </c>
      <c r="J4">
        <v>0</v>
      </c>
      <c r="K4">
        <v>50</v>
      </c>
      <c r="L4">
        <v>0</v>
      </c>
      <c r="M4">
        <v>71</v>
      </c>
      <c r="N4">
        <v>0</v>
      </c>
      <c r="O4">
        <v>0</v>
      </c>
      <c r="P4">
        <v>80</v>
      </c>
      <c r="Q4">
        <v>0</v>
      </c>
      <c r="R4">
        <v>0</v>
      </c>
      <c r="S4">
        <v>0</v>
      </c>
      <c r="T4">
        <v>13</v>
      </c>
      <c r="U4">
        <v>0</v>
      </c>
      <c r="V4">
        <v>0</v>
      </c>
      <c r="W4">
        <v>0</v>
      </c>
      <c r="X4">
        <v>75</v>
      </c>
      <c r="Y4">
        <v>48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77</v>
      </c>
      <c r="AH4">
        <v>0</v>
      </c>
      <c r="AI4">
        <v>0</v>
      </c>
    </row>
    <row r="5" spans="1:35" x14ac:dyDescent="0.2">
      <c r="A5" t="s">
        <v>120</v>
      </c>
      <c r="B5">
        <v>21</v>
      </c>
      <c r="C5">
        <v>0</v>
      </c>
      <c r="D5">
        <v>16</v>
      </c>
      <c r="E5">
        <v>0</v>
      </c>
      <c r="F5">
        <v>606</v>
      </c>
      <c r="G5">
        <v>461</v>
      </c>
      <c r="H5">
        <v>0</v>
      </c>
      <c r="I5">
        <v>415</v>
      </c>
      <c r="J5">
        <v>0</v>
      </c>
      <c r="K5">
        <v>155</v>
      </c>
      <c r="L5">
        <v>0</v>
      </c>
      <c r="M5">
        <v>117</v>
      </c>
      <c r="N5">
        <v>0</v>
      </c>
      <c r="O5">
        <v>27</v>
      </c>
      <c r="P5">
        <v>35</v>
      </c>
      <c r="Q5">
        <v>0</v>
      </c>
      <c r="R5">
        <v>0</v>
      </c>
      <c r="S5">
        <v>0</v>
      </c>
      <c r="T5">
        <v>411</v>
      </c>
      <c r="U5">
        <v>0</v>
      </c>
      <c r="V5">
        <v>0</v>
      </c>
      <c r="W5">
        <v>0</v>
      </c>
      <c r="X5">
        <v>1212</v>
      </c>
      <c r="Y5">
        <v>14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421</v>
      </c>
      <c r="AH5">
        <v>0</v>
      </c>
      <c r="AI5">
        <v>0</v>
      </c>
    </row>
    <row r="6" spans="1:35" x14ac:dyDescent="0.2">
      <c r="A6" t="s">
        <v>51</v>
      </c>
      <c r="B6">
        <v>23</v>
      </c>
      <c r="C6">
        <v>0</v>
      </c>
      <c r="D6">
        <v>51</v>
      </c>
      <c r="E6">
        <v>0</v>
      </c>
      <c r="F6">
        <v>1036</v>
      </c>
      <c r="G6">
        <v>64</v>
      </c>
      <c r="H6">
        <v>0</v>
      </c>
      <c r="I6">
        <v>418</v>
      </c>
      <c r="J6">
        <v>0</v>
      </c>
      <c r="K6">
        <v>708</v>
      </c>
      <c r="L6">
        <v>0</v>
      </c>
      <c r="M6">
        <v>469</v>
      </c>
      <c r="N6">
        <v>0</v>
      </c>
      <c r="O6">
        <v>39</v>
      </c>
      <c r="P6">
        <v>14</v>
      </c>
      <c r="Q6">
        <v>0</v>
      </c>
      <c r="R6">
        <v>0</v>
      </c>
      <c r="S6">
        <v>0</v>
      </c>
      <c r="T6">
        <v>257</v>
      </c>
      <c r="U6">
        <v>31</v>
      </c>
      <c r="V6">
        <v>0</v>
      </c>
      <c r="W6">
        <v>0</v>
      </c>
      <c r="X6">
        <v>35</v>
      </c>
      <c r="Y6">
        <v>18</v>
      </c>
      <c r="Z6">
        <v>0</v>
      </c>
      <c r="AA6">
        <v>0</v>
      </c>
      <c r="AB6">
        <v>0</v>
      </c>
      <c r="AC6">
        <v>422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9</v>
      </c>
      <c r="B7">
        <v>101</v>
      </c>
      <c r="C7">
        <v>0</v>
      </c>
      <c r="D7">
        <v>0</v>
      </c>
      <c r="E7">
        <v>0</v>
      </c>
      <c r="F7">
        <v>115</v>
      </c>
      <c r="G7">
        <v>0</v>
      </c>
      <c r="H7">
        <v>0</v>
      </c>
      <c r="I7">
        <v>422</v>
      </c>
      <c r="J7">
        <v>0</v>
      </c>
      <c r="K7">
        <v>9</v>
      </c>
      <c r="L7">
        <v>0</v>
      </c>
      <c r="M7">
        <v>20</v>
      </c>
      <c r="N7">
        <v>0</v>
      </c>
      <c r="O7">
        <v>367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14</v>
      </c>
      <c r="B8">
        <v>37</v>
      </c>
      <c r="C8">
        <v>0</v>
      </c>
      <c r="D8">
        <v>8</v>
      </c>
      <c r="E8">
        <v>0</v>
      </c>
      <c r="F8">
        <v>31</v>
      </c>
      <c r="G8">
        <v>27</v>
      </c>
      <c r="H8">
        <v>0</v>
      </c>
      <c r="I8">
        <v>22</v>
      </c>
      <c r="J8">
        <v>0</v>
      </c>
      <c r="K8">
        <v>34</v>
      </c>
      <c r="L8">
        <v>0</v>
      </c>
      <c r="M8">
        <v>54</v>
      </c>
      <c r="N8">
        <v>0</v>
      </c>
      <c r="O8">
        <v>37</v>
      </c>
      <c r="P8">
        <v>147</v>
      </c>
      <c r="Q8">
        <v>0</v>
      </c>
      <c r="R8">
        <v>0</v>
      </c>
      <c r="S8">
        <v>0</v>
      </c>
      <c r="T8">
        <v>29</v>
      </c>
      <c r="U8">
        <v>0</v>
      </c>
      <c r="V8">
        <v>0</v>
      </c>
      <c r="W8">
        <v>0</v>
      </c>
      <c r="X8">
        <v>27</v>
      </c>
      <c r="Y8">
        <v>0</v>
      </c>
      <c r="Z8">
        <v>0</v>
      </c>
      <c r="AA8">
        <v>0</v>
      </c>
      <c r="AB8">
        <v>0</v>
      </c>
      <c r="AC8">
        <v>32</v>
      </c>
      <c r="AD8">
        <v>0</v>
      </c>
      <c r="AE8">
        <v>154</v>
      </c>
      <c r="AF8">
        <v>0</v>
      </c>
      <c r="AG8">
        <v>39</v>
      </c>
      <c r="AH8">
        <v>0</v>
      </c>
      <c r="AI8">
        <v>0</v>
      </c>
    </row>
    <row r="9" spans="1:35" x14ac:dyDescent="0.2">
      <c r="A9" t="s">
        <v>13</v>
      </c>
      <c r="B9">
        <v>118</v>
      </c>
      <c r="C9">
        <v>0</v>
      </c>
      <c r="D9">
        <v>11</v>
      </c>
      <c r="E9">
        <v>0</v>
      </c>
      <c r="F9">
        <v>77</v>
      </c>
      <c r="G9">
        <v>572</v>
      </c>
      <c r="H9">
        <v>0</v>
      </c>
      <c r="I9">
        <v>34</v>
      </c>
      <c r="J9">
        <v>0</v>
      </c>
      <c r="K9">
        <v>66</v>
      </c>
      <c r="L9">
        <v>0</v>
      </c>
      <c r="M9">
        <v>35</v>
      </c>
      <c r="N9">
        <v>0</v>
      </c>
      <c r="O9">
        <v>0</v>
      </c>
      <c r="P9">
        <v>18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45</v>
      </c>
      <c r="Y9">
        <v>0</v>
      </c>
      <c r="Z9">
        <v>0</v>
      </c>
      <c r="AA9">
        <v>0</v>
      </c>
      <c r="AB9">
        <v>0</v>
      </c>
      <c r="AC9">
        <v>31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10</v>
      </c>
      <c r="B10">
        <v>5</v>
      </c>
      <c r="C10">
        <v>0</v>
      </c>
      <c r="D10">
        <v>33</v>
      </c>
      <c r="E10">
        <v>0</v>
      </c>
      <c r="F10">
        <v>93</v>
      </c>
      <c r="G10">
        <v>0</v>
      </c>
      <c r="H10">
        <v>0</v>
      </c>
      <c r="I10">
        <v>28</v>
      </c>
      <c r="J10">
        <v>0</v>
      </c>
      <c r="K10">
        <v>0</v>
      </c>
      <c r="L10">
        <v>0</v>
      </c>
      <c r="M10">
        <v>0</v>
      </c>
      <c r="N10">
        <v>0</v>
      </c>
      <c r="O10">
        <v>7</v>
      </c>
      <c r="P10">
        <v>0</v>
      </c>
      <c r="Q10">
        <v>0</v>
      </c>
      <c r="R10">
        <v>0</v>
      </c>
      <c r="S10">
        <v>0</v>
      </c>
      <c r="T10">
        <v>46</v>
      </c>
      <c r="U10">
        <v>0</v>
      </c>
      <c r="V10">
        <v>0</v>
      </c>
      <c r="W10">
        <v>0</v>
      </c>
      <c r="X10">
        <v>0</v>
      </c>
      <c r="Y10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11</v>
      </c>
      <c r="B11">
        <v>11</v>
      </c>
      <c r="C11">
        <v>0</v>
      </c>
      <c r="D11">
        <v>0</v>
      </c>
      <c r="E11">
        <v>0</v>
      </c>
      <c r="F11">
        <v>0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">
      <c r="A12" t="s">
        <v>37</v>
      </c>
      <c r="B12">
        <v>195</v>
      </c>
      <c r="C12">
        <v>0</v>
      </c>
      <c r="D12">
        <v>0</v>
      </c>
      <c r="E12">
        <v>0</v>
      </c>
      <c r="F12">
        <v>187</v>
      </c>
      <c r="G12">
        <v>96</v>
      </c>
      <c r="H12">
        <v>0</v>
      </c>
      <c r="I12">
        <v>44</v>
      </c>
      <c r="J12">
        <v>0</v>
      </c>
      <c r="K12">
        <v>12</v>
      </c>
      <c r="L12">
        <v>0</v>
      </c>
      <c r="M12">
        <v>0</v>
      </c>
      <c r="N12">
        <v>0</v>
      </c>
      <c r="O12">
        <v>20</v>
      </c>
      <c r="P12">
        <v>13</v>
      </c>
      <c r="Q12">
        <v>0</v>
      </c>
      <c r="R12">
        <v>0</v>
      </c>
      <c r="S12">
        <v>0</v>
      </c>
      <c r="T12">
        <v>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">
      <c r="A13" t="s">
        <v>29</v>
      </c>
      <c r="B13">
        <v>125</v>
      </c>
      <c r="C13">
        <v>0</v>
      </c>
      <c r="D13">
        <v>143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 t="s">
        <v>16</v>
      </c>
      <c r="B14">
        <v>42</v>
      </c>
      <c r="C14">
        <v>0</v>
      </c>
      <c r="D14">
        <v>0</v>
      </c>
      <c r="E14">
        <v>0</v>
      </c>
      <c r="F14">
        <v>21</v>
      </c>
      <c r="G14">
        <v>0</v>
      </c>
      <c r="H14">
        <v>0</v>
      </c>
      <c r="I14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">
      <c r="A15" t="s">
        <v>30</v>
      </c>
      <c r="B15">
        <v>261</v>
      </c>
      <c r="C15">
        <v>0</v>
      </c>
      <c r="D15">
        <v>56</v>
      </c>
      <c r="E15">
        <v>0</v>
      </c>
      <c r="F15">
        <v>0</v>
      </c>
      <c r="G15">
        <v>0</v>
      </c>
      <c r="H15">
        <v>0</v>
      </c>
      <c r="I15">
        <v>18</v>
      </c>
      <c r="J15">
        <v>0</v>
      </c>
      <c r="K15">
        <v>20</v>
      </c>
      <c r="L15">
        <v>0</v>
      </c>
      <c r="M15">
        <v>0</v>
      </c>
      <c r="N15">
        <v>0</v>
      </c>
      <c r="O15">
        <v>0</v>
      </c>
      <c r="P15">
        <v>31</v>
      </c>
      <c r="Q15">
        <v>0</v>
      </c>
      <c r="R15">
        <v>0</v>
      </c>
      <c r="S15">
        <v>0</v>
      </c>
      <c r="T15">
        <v>0</v>
      </c>
      <c r="U15">
        <v>72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">
      <c r="A16" t="s">
        <v>12</v>
      </c>
      <c r="B16">
        <v>74</v>
      </c>
      <c r="C16">
        <v>0</v>
      </c>
      <c r="D16">
        <v>0</v>
      </c>
      <c r="E16">
        <v>0</v>
      </c>
      <c r="F16">
        <v>10</v>
      </c>
      <c r="G16">
        <v>0</v>
      </c>
      <c r="H16">
        <v>0</v>
      </c>
      <c r="I16">
        <v>10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">
      <c r="A17" t="s">
        <v>57</v>
      </c>
      <c r="B17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">
      <c r="A18" t="s">
        <v>42</v>
      </c>
      <c r="B18">
        <v>195</v>
      </c>
      <c r="C18">
        <v>0</v>
      </c>
      <c r="D18">
        <v>0</v>
      </c>
      <c r="E18">
        <v>0</v>
      </c>
      <c r="F18">
        <v>187</v>
      </c>
      <c r="G18">
        <v>0</v>
      </c>
      <c r="H18">
        <v>0</v>
      </c>
      <c r="I18">
        <v>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43</v>
      </c>
      <c r="B19">
        <v>0</v>
      </c>
      <c r="C19">
        <v>0</v>
      </c>
      <c r="D19">
        <v>0</v>
      </c>
      <c r="E19">
        <v>0</v>
      </c>
      <c r="F19">
        <v>14</v>
      </c>
      <c r="G19">
        <v>47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56</v>
      </c>
      <c r="U19">
        <v>36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">
      <c r="A20" t="s">
        <v>56</v>
      </c>
      <c r="B20">
        <v>28</v>
      </c>
      <c r="C20">
        <v>0</v>
      </c>
      <c r="D20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conditionalFormatting sqref="A1:AI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5C1E-DDA2-FC4D-B77B-5FE5FA127D40}">
  <dimension ref="A1:R320"/>
  <sheetViews>
    <sheetView tabSelected="1" zoomScale="108" zoomScaleNormal="108" workbookViewId="0">
      <selection activeCell="K10" sqref="K10"/>
    </sheetView>
  </sheetViews>
  <sheetFormatPr baseColWidth="10" defaultRowHeight="16" x14ac:dyDescent="0.2"/>
  <cols>
    <col min="1" max="1" width="28" style="1" customWidth="1"/>
    <col min="2" max="2" width="13.1640625" style="1" customWidth="1"/>
    <col min="3" max="3" width="8.1640625" style="3" customWidth="1"/>
    <col min="4" max="4" width="10.83203125" style="2" customWidth="1"/>
    <col min="5" max="5" width="8.1640625" style="5" customWidth="1"/>
    <col min="6" max="6" width="16.33203125" style="4" customWidth="1"/>
    <col min="7" max="7" width="10" style="66" customWidth="1"/>
    <col min="8" max="8" width="10.83203125" style="71"/>
    <col min="9" max="9" width="5.33203125" style="73" customWidth="1"/>
    <col min="10" max="18" width="10.83203125" style="71"/>
  </cols>
  <sheetData>
    <row r="1" spans="1:18" s="6" customFormat="1" x14ac:dyDescent="0.2">
      <c r="A1" s="8" t="s">
        <v>2</v>
      </c>
      <c r="B1" s="8" t="s">
        <v>7</v>
      </c>
      <c r="C1" s="7" t="s">
        <v>4</v>
      </c>
      <c r="D1" s="9" t="s">
        <v>5</v>
      </c>
      <c r="E1" s="7" t="s">
        <v>3</v>
      </c>
      <c r="F1" s="10" t="s">
        <v>0</v>
      </c>
      <c r="G1" s="65" t="s">
        <v>173</v>
      </c>
      <c r="H1" s="69"/>
      <c r="I1" s="72"/>
      <c r="J1" s="69"/>
      <c r="K1" s="69"/>
      <c r="L1" s="69"/>
      <c r="M1" s="69"/>
      <c r="N1" s="69"/>
      <c r="O1" s="69"/>
      <c r="P1" s="69"/>
      <c r="Q1" s="69"/>
      <c r="R1" s="69"/>
    </row>
    <row r="2" spans="1:18" x14ac:dyDescent="0.2">
      <c r="A2" s="1" t="s">
        <v>104</v>
      </c>
      <c r="B2" s="1" t="s">
        <v>6</v>
      </c>
      <c r="C2" s="3" t="s">
        <v>51</v>
      </c>
      <c r="D2" s="2">
        <v>48</v>
      </c>
      <c r="E2" s="5">
        <v>21</v>
      </c>
      <c r="F2" s="4">
        <f t="shared" ref="F2:F101" si="0">E2/D2</f>
        <v>0.4375</v>
      </c>
      <c r="G2" s="66" t="s">
        <v>139</v>
      </c>
      <c r="H2" s="71">
        <v>23</v>
      </c>
      <c r="I2" s="73">
        <v>1</v>
      </c>
      <c r="J2" s="71">
        <v>1973</v>
      </c>
    </row>
    <row r="3" spans="1:18" x14ac:dyDescent="0.2">
      <c r="A3" s="1" t="s">
        <v>104</v>
      </c>
      <c r="B3" s="1" t="s">
        <v>6</v>
      </c>
      <c r="C3" s="3" t="s">
        <v>13</v>
      </c>
      <c r="D3" s="2">
        <v>12</v>
      </c>
      <c r="E3" s="5">
        <v>5</v>
      </c>
      <c r="F3" s="4">
        <f t="shared" si="0"/>
        <v>0.41666666666666669</v>
      </c>
      <c r="G3" s="66" t="s">
        <v>139</v>
      </c>
      <c r="H3" s="71">
        <v>23</v>
      </c>
      <c r="I3" s="73">
        <v>1</v>
      </c>
      <c r="J3" s="71">
        <v>1973</v>
      </c>
    </row>
    <row r="4" spans="1:18" x14ac:dyDescent="0.2">
      <c r="A4" s="1" t="s">
        <v>104</v>
      </c>
      <c r="B4" s="1" t="s">
        <v>6</v>
      </c>
      <c r="C4" s="3" t="s">
        <v>12</v>
      </c>
      <c r="D4" s="2">
        <v>39</v>
      </c>
      <c r="E4" s="5">
        <v>14</v>
      </c>
      <c r="F4" s="4">
        <f t="shared" si="0"/>
        <v>0.35897435897435898</v>
      </c>
      <c r="G4" s="66" t="s">
        <v>139</v>
      </c>
      <c r="H4" s="71">
        <v>23</v>
      </c>
      <c r="I4" s="73">
        <v>1</v>
      </c>
      <c r="J4" s="71">
        <v>1973</v>
      </c>
    </row>
    <row r="5" spans="1:18" x14ac:dyDescent="0.2">
      <c r="A5" s="1" t="s">
        <v>104</v>
      </c>
      <c r="B5" s="1" t="s">
        <v>6</v>
      </c>
      <c r="C5" s="3" t="s">
        <v>10</v>
      </c>
      <c r="D5" s="2">
        <v>64</v>
      </c>
      <c r="E5" s="5">
        <v>21</v>
      </c>
      <c r="F5" s="4">
        <f t="shared" si="0"/>
        <v>0.328125</v>
      </c>
      <c r="G5" s="66" t="s">
        <v>139</v>
      </c>
      <c r="H5" s="71">
        <v>23</v>
      </c>
      <c r="I5" s="73">
        <v>1</v>
      </c>
      <c r="J5" s="71">
        <v>1973</v>
      </c>
    </row>
    <row r="6" spans="1:18" x14ac:dyDescent="0.2">
      <c r="A6" s="1" t="s">
        <v>104</v>
      </c>
      <c r="B6" s="1" t="s">
        <v>6</v>
      </c>
      <c r="C6" s="3" t="s">
        <v>1</v>
      </c>
      <c r="D6" s="2">
        <v>50</v>
      </c>
      <c r="E6" s="5">
        <v>16</v>
      </c>
      <c r="F6" s="4">
        <f t="shared" si="0"/>
        <v>0.32</v>
      </c>
      <c r="G6" s="66" t="s">
        <v>139</v>
      </c>
      <c r="H6" s="71">
        <v>23</v>
      </c>
      <c r="I6" s="73">
        <v>1</v>
      </c>
      <c r="J6" s="71">
        <v>1973</v>
      </c>
    </row>
    <row r="7" spans="1:18" x14ac:dyDescent="0.2">
      <c r="A7" s="1" t="s">
        <v>104</v>
      </c>
      <c r="B7" s="1" t="s">
        <v>6</v>
      </c>
      <c r="C7" s="3" t="s">
        <v>11</v>
      </c>
      <c r="D7" s="2">
        <v>16</v>
      </c>
      <c r="E7" s="5">
        <v>5</v>
      </c>
      <c r="F7" s="4">
        <f t="shared" si="0"/>
        <v>0.3125</v>
      </c>
      <c r="G7" s="66" t="s">
        <v>139</v>
      </c>
      <c r="H7" s="71">
        <v>23</v>
      </c>
      <c r="I7" s="73">
        <v>1</v>
      </c>
      <c r="J7" s="71">
        <v>1973</v>
      </c>
    </row>
    <row r="8" spans="1:18" x14ac:dyDescent="0.2">
      <c r="A8" s="1" t="s">
        <v>104</v>
      </c>
      <c r="B8" s="1" t="s">
        <v>6</v>
      </c>
      <c r="C8" s="3" t="s">
        <v>32</v>
      </c>
      <c r="D8" s="2">
        <v>36</v>
      </c>
      <c r="E8" s="5">
        <v>5</v>
      </c>
      <c r="F8" s="4">
        <f t="shared" si="0"/>
        <v>0.1388888888888889</v>
      </c>
      <c r="G8" s="66" t="s">
        <v>139</v>
      </c>
      <c r="H8" s="71">
        <v>23</v>
      </c>
      <c r="I8" s="73">
        <v>1</v>
      </c>
      <c r="J8" s="71">
        <v>1973</v>
      </c>
    </row>
    <row r="9" spans="1:18" x14ac:dyDescent="0.2">
      <c r="A9" s="1" t="s">
        <v>104</v>
      </c>
      <c r="B9" s="1" t="s">
        <v>6</v>
      </c>
      <c r="C9" s="3" t="s">
        <v>9</v>
      </c>
      <c r="D9" s="2">
        <v>19</v>
      </c>
      <c r="E9" s="5">
        <v>2</v>
      </c>
      <c r="F9" s="4">
        <f t="shared" si="0"/>
        <v>0.10526315789473684</v>
      </c>
      <c r="G9" s="66" t="s">
        <v>139</v>
      </c>
      <c r="H9" s="71">
        <v>23</v>
      </c>
      <c r="I9" s="73">
        <v>1</v>
      </c>
      <c r="J9" s="71">
        <v>1973</v>
      </c>
    </row>
    <row r="10" spans="1:18" x14ac:dyDescent="0.2">
      <c r="A10" s="1" t="s">
        <v>104</v>
      </c>
      <c r="B10" s="1" t="s">
        <v>6</v>
      </c>
      <c r="C10" s="3" t="s">
        <v>8</v>
      </c>
      <c r="D10" s="2">
        <v>33</v>
      </c>
      <c r="E10" s="5">
        <v>1</v>
      </c>
      <c r="F10" s="4">
        <f t="shared" si="0"/>
        <v>3.0303030303030304E-2</v>
      </c>
      <c r="G10" s="66" t="s">
        <v>139</v>
      </c>
      <c r="H10" s="71">
        <v>23</v>
      </c>
      <c r="I10" s="73">
        <v>1</v>
      </c>
      <c r="J10" s="71">
        <v>1973</v>
      </c>
    </row>
    <row r="11" spans="1:18" x14ac:dyDescent="0.2">
      <c r="A11" s="1" t="s">
        <v>104</v>
      </c>
      <c r="B11" s="1" t="s">
        <v>6</v>
      </c>
      <c r="C11" s="3" t="s">
        <v>14</v>
      </c>
      <c r="D11" s="2">
        <v>13</v>
      </c>
      <c r="E11" s="5">
        <v>0</v>
      </c>
      <c r="F11" s="4">
        <f t="shared" si="0"/>
        <v>0</v>
      </c>
      <c r="G11" s="66" t="s">
        <v>139</v>
      </c>
      <c r="H11" s="71">
        <v>23</v>
      </c>
      <c r="I11" s="73">
        <v>1</v>
      </c>
      <c r="J11" s="71">
        <v>1973</v>
      </c>
    </row>
    <row r="12" spans="1:18" ht="17" thickBot="1" x14ac:dyDescent="0.25">
      <c r="A12" s="1" t="s">
        <v>104</v>
      </c>
      <c r="B12" s="1" t="s">
        <v>6</v>
      </c>
      <c r="C12" s="3" t="s">
        <v>16</v>
      </c>
      <c r="D12" s="2">
        <v>15</v>
      </c>
      <c r="E12" s="5">
        <v>0</v>
      </c>
      <c r="F12" s="4">
        <f t="shared" si="0"/>
        <v>0</v>
      </c>
      <c r="G12" s="66" t="s">
        <v>139</v>
      </c>
      <c r="H12" s="71">
        <v>23</v>
      </c>
      <c r="I12" s="73">
        <v>1</v>
      </c>
      <c r="J12" s="71">
        <v>1973</v>
      </c>
    </row>
    <row r="13" spans="1:18" s="16" customFormat="1" x14ac:dyDescent="0.2">
      <c r="A13" s="11" t="s">
        <v>117</v>
      </c>
      <c r="B13" s="11" t="s">
        <v>6</v>
      </c>
      <c r="C13" s="12" t="s">
        <v>1</v>
      </c>
      <c r="D13" s="14">
        <v>345</v>
      </c>
      <c r="E13" s="15">
        <v>129</v>
      </c>
      <c r="F13" s="13">
        <f t="shared" ref="F13:F49" si="1">E13/D13</f>
        <v>0.37391304347826088</v>
      </c>
      <c r="G13" s="66" t="s">
        <v>156</v>
      </c>
      <c r="H13" s="71" t="s">
        <v>157</v>
      </c>
      <c r="I13" s="73" t="s">
        <v>158</v>
      </c>
      <c r="J13" s="71">
        <v>1975</v>
      </c>
      <c r="K13" s="71"/>
      <c r="L13" s="71"/>
      <c r="M13" s="71"/>
      <c r="N13" s="71"/>
      <c r="O13" s="71"/>
      <c r="P13" s="71"/>
      <c r="Q13" s="71"/>
      <c r="R13" s="71"/>
    </row>
    <row r="14" spans="1:18" x14ac:dyDescent="0.2">
      <c r="A14" s="1" t="s">
        <v>117</v>
      </c>
      <c r="B14" s="1" t="s">
        <v>6</v>
      </c>
      <c r="C14" s="3" t="s">
        <v>10</v>
      </c>
      <c r="D14" s="2">
        <v>357</v>
      </c>
      <c r="E14" s="5">
        <v>96</v>
      </c>
      <c r="F14" s="4">
        <f t="shared" si="1"/>
        <v>0.26890756302521007</v>
      </c>
      <c r="G14" s="66" t="s">
        <v>156</v>
      </c>
      <c r="H14" s="71" t="s">
        <v>157</v>
      </c>
      <c r="I14" s="73" t="s">
        <v>158</v>
      </c>
      <c r="J14" s="71">
        <v>1975</v>
      </c>
    </row>
    <row r="15" spans="1:18" x14ac:dyDescent="0.2">
      <c r="A15" s="1" t="s">
        <v>117</v>
      </c>
      <c r="B15" s="1" t="s">
        <v>6</v>
      </c>
      <c r="C15" s="3" t="s">
        <v>51</v>
      </c>
      <c r="D15" s="2">
        <v>342</v>
      </c>
      <c r="E15" s="5">
        <v>157</v>
      </c>
      <c r="F15" s="4">
        <f t="shared" si="1"/>
        <v>0.45906432748538012</v>
      </c>
      <c r="G15" s="66" t="s">
        <v>156</v>
      </c>
      <c r="H15" s="71" t="s">
        <v>157</v>
      </c>
      <c r="I15" s="73" t="s">
        <v>158</v>
      </c>
      <c r="J15" s="71">
        <v>1975</v>
      </c>
    </row>
    <row r="16" spans="1:18" x14ac:dyDescent="0.2">
      <c r="A16" s="1" t="s">
        <v>117</v>
      </c>
      <c r="B16" s="1" t="s">
        <v>6</v>
      </c>
      <c r="C16" s="3" t="s">
        <v>32</v>
      </c>
      <c r="D16" s="2">
        <v>370</v>
      </c>
      <c r="E16" s="5">
        <v>68</v>
      </c>
      <c r="F16" s="4">
        <f t="shared" si="1"/>
        <v>0.18378378378378379</v>
      </c>
      <c r="G16" s="66" t="s">
        <v>156</v>
      </c>
      <c r="H16" s="71" t="s">
        <v>157</v>
      </c>
      <c r="I16" s="73" t="s">
        <v>158</v>
      </c>
      <c r="J16" s="71">
        <v>1975</v>
      </c>
    </row>
    <row r="17" spans="1:18" x14ac:dyDescent="0.2">
      <c r="A17" s="1" t="s">
        <v>117</v>
      </c>
      <c r="B17" s="1" t="s">
        <v>6</v>
      </c>
      <c r="C17" s="3" t="s">
        <v>12</v>
      </c>
      <c r="D17" s="2">
        <v>121</v>
      </c>
      <c r="E17" s="5">
        <v>32</v>
      </c>
      <c r="F17" s="4">
        <f t="shared" si="1"/>
        <v>0.26446280991735538</v>
      </c>
      <c r="G17" s="66" t="s">
        <v>156</v>
      </c>
      <c r="H17" s="71" t="s">
        <v>157</v>
      </c>
      <c r="I17" s="73" t="s">
        <v>158</v>
      </c>
      <c r="J17" s="71">
        <v>1975</v>
      </c>
    </row>
    <row r="18" spans="1:18" x14ac:dyDescent="0.2">
      <c r="A18" s="1" t="s">
        <v>117</v>
      </c>
      <c r="B18" s="1" t="s">
        <v>6</v>
      </c>
      <c r="C18" s="3" t="s">
        <v>16</v>
      </c>
      <c r="D18" s="2">
        <v>73</v>
      </c>
      <c r="E18" s="5">
        <v>6</v>
      </c>
      <c r="F18" s="4">
        <f t="shared" si="1"/>
        <v>8.2191780821917804E-2</v>
      </c>
      <c r="G18" s="66" t="s">
        <v>156</v>
      </c>
      <c r="H18" s="71" t="s">
        <v>157</v>
      </c>
      <c r="I18" s="73" t="s">
        <v>158</v>
      </c>
      <c r="J18" s="71">
        <v>1975</v>
      </c>
    </row>
    <row r="19" spans="1:18" x14ac:dyDescent="0.2">
      <c r="A19" s="1" t="s">
        <v>117</v>
      </c>
      <c r="B19" s="1" t="s">
        <v>6</v>
      </c>
      <c r="C19" s="3" t="s">
        <v>11</v>
      </c>
      <c r="D19" s="2">
        <v>78</v>
      </c>
      <c r="E19" s="5">
        <v>33</v>
      </c>
      <c r="F19" s="4">
        <f t="shared" si="1"/>
        <v>0.42307692307692307</v>
      </c>
      <c r="G19" s="66" t="s">
        <v>156</v>
      </c>
      <c r="H19" s="71" t="s">
        <v>157</v>
      </c>
      <c r="I19" s="73" t="s">
        <v>158</v>
      </c>
      <c r="J19" s="71">
        <v>1975</v>
      </c>
    </row>
    <row r="20" spans="1:18" x14ac:dyDescent="0.2">
      <c r="A20" s="1" t="s">
        <v>117</v>
      </c>
      <c r="B20" s="1" t="s">
        <v>6</v>
      </c>
      <c r="C20" s="3" t="s">
        <v>36</v>
      </c>
      <c r="D20" s="2">
        <v>27</v>
      </c>
      <c r="E20" s="5">
        <v>5</v>
      </c>
      <c r="F20" s="4">
        <f t="shared" si="1"/>
        <v>0.18518518518518517</v>
      </c>
      <c r="G20" s="66" t="s">
        <v>156</v>
      </c>
      <c r="H20" s="71" t="s">
        <v>157</v>
      </c>
      <c r="I20" s="73" t="s">
        <v>158</v>
      </c>
      <c r="J20" s="71">
        <v>1975</v>
      </c>
    </row>
    <row r="21" spans="1:18" x14ac:dyDescent="0.2">
      <c r="A21" s="1" t="s">
        <v>117</v>
      </c>
      <c r="B21" s="1" t="s">
        <v>6</v>
      </c>
      <c r="C21" s="3" t="s">
        <v>9</v>
      </c>
      <c r="D21" s="2">
        <v>84</v>
      </c>
      <c r="E21" s="5">
        <v>24</v>
      </c>
      <c r="F21" s="4">
        <f t="shared" si="1"/>
        <v>0.2857142857142857</v>
      </c>
      <c r="G21" s="66" t="s">
        <v>156</v>
      </c>
      <c r="H21" s="71" t="s">
        <v>157</v>
      </c>
      <c r="I21" s="73" t="s">
        <v>158</v>
      </c>
      <c r="J21" s="71">
        <v>1975</v>
      </c>
    </row>
    <row r="22" spans="1:18" x14ac:dyDescent="0.2">
      <c r="A22" s="1" t="s">
        <v>117</v>
      </c>
      <c r="B22" s="1" t="s">
        <v>6</v>
      </c>
      <c r="C22" s="3" t="s">
        <v>37</v>
      </c>
      <c r="D22" s="2">
        <v>31</v>
      </c>
      <c r="E22" s="5">
        <v>7</v>
      </c>
      <c r="F22" s="4">
        <f t="shared" si="1"/>
        <v>0.22580645161290322</v>
      </c>
      <c r="G22" s="66" t="s">
        <v>156</v>
      </c>
      <c r="H22" s="71" t="s">
        <v>157</v>
      </c>
      <c r="I22" s="73" t="s">
        <v>158</v>
      </c>
      <c r="J22" s="71">
        <v>1975</v>
      </c>
    </row>
    <row r="23" spans="1:18" x14ac:dyDescent="0.2">
      <c r="A23" s="1" t="s">
        <v>117</v>
      </c>
      <c r="B23" s="1" t="s">
        <v>6</v>
      </c>
      <c r="C23" s="3" t="s">
        <v>42</v>
      </c>
      <c r="D23" s="2">
        <v>9</v>
      </c>
      <c r="E23" s="5">
        <v>3</v>
      </c>
      <c r="F23" s="4">
        <f t="shared" si="1"/>
        <v>0.33333333333333331</v>
      </c>
      <c r="G23" s="66" t="s">
        <v>156</v>
      </c>
      <c r="H23" s="71" t="s">
        <v>157</v>
      </c>
      <c r="I23" s="73" t="s">
        <v>158</v>
      </c>
      <c r="J23" s="71">
        <v>1975</v>
      </c>
    </row>
    <row r="24" spans="1:18" x14ac:dyDescent="0.2">
      <c r="A24" s="1" t="s">
        <v>117</v>
      </c>
      <c r="B24" s="1" t="s">
        <v>6</v>
      </c>
      <c r="C24" s="3" t="s">
        <v>13</v>
      </c>
      <c r="D24" s="2">
        <v>107</v>
      </c>
      <c r="E24" s="5">
        <v>20</v>
      </c>
      <c r="F24" s="4">
        <f t="shared" si="1"/>
        <v>0.18691588785046728</v>
      </c>
      <c r="G24" s="66" t="s">
        <v>156</v>
      </c>
      <c r="H24" s="71" t="s">
        <v>157</v>
      </c>
      <c r="I24" s="73" t="s">
        <v>158</v>
      </c>
      <c r="J24" s="71">
        <v>1975</v>
      </c>
    </row>
    <row r="25" spans="1:18" x14ac:dyDescent="0.2">
      <c r="A25" s="1" t="s">
        <v>117</v>
      </c>
      <c r="B25" s="1" t="s">
        <v>6</v>
      </c>
      <c r="C25" s="3" t="s">
        <v>118</v>
      </c>
      <c r="D25" s="2">
        <v>39</v>
      </c>
      <c r="E25" s="5">
        <v>16</v>
      </c>
      <c r="F25" s="4">
        <f t="shared" si="1"/>
        <v>0.41025641025641024</v>
      </c>
      <c r="G25" s="66" t="s">
        <v>156</v>
      </c>
      <c r="H25" s="71" t="s">
        <v>157</v>
      </c>
      <c r="I25" s="73" t="s">
        <v>158</v>
      </c>
      <c r="J25" s="71">
        <v>1975</v>
      </c>
    </row>
    <row r="26" spans="1:18" ht="17" thickBot="1" x14ac:dyDescent="0.25">
      <c r="A26" s="1" t="s">
        <v>117</v>
      </c>
      <c r="B26" s="1" t="s">
        <v>6</v>
      </c>
      <c r="C26" s="3" t="s">
        <v>14</v>
      </c>
      <c r="D26" s="2">
        <v>40</v>
      </c>
      <c r="E26" s="5">
        <v>1</v>
      </c>
      <c r="F26" s="4">
        <f t="shared" si="1"/>
        <v>2.5000000000000001E-2</v>
      </c>
      <c r="G26" s="66" t="s">
        <v>156</v>
      </c>
      <c r="H26" s="71" t="s">
        <v>157</v>
      </c>
      <c r="I26" s="73" t="s">
        <v>158</v>
      </c>
      <c r="J26" s="71">
        <v>1975</v>
      </c>
    </row>
    <row r="27" spans="1:18" s="16" customFormat="1" x14ac:dyDescent="0.2">
      <c r="A27" s="11" t="s">
        <v>119</v>
      </c>
      <c r="B27" s="11" t="s">
        <v>6</v>
      </c>
      <c r="C27" s="12" t="s">
        <v>1</v>
      </c>
      <c r="D27" s="14">
        <v>235</v>
      </c>
      <c r="E27" s="15">
        <v>96</v>
      </c>
      <c r="F27" s="13">
        <f t="shared" si="1"/>
        <v>0.40851063829787232</v>
      </c>
      <c r="G27" s="66" t="s">
        <v>159</v>
      </c>
      <c r="H27" s="71">
        <v>55</v>
      </c>
      <c r="I27" s="73">
        <v>1265</v>
      </c>
      <c r="J27" s="71">
        <v>1975</v>
      </c>
      <c r="K27" s="71"/>
      <c r="L27" s="71"/>
      <c r="M27" s="71"/>
      <c r="N27" s="71"/>
      <c r="O27" s="71"/>
      <c r="P27" s="71"/>
      <c r="Q27" s="71"/>
      <c r="R27" s="71"/>
    </row>
    <row r="28" spans="1:18" x14ac:dyDescent="0.2">
      <c r="A28" s="1" t="s">
        <v>119</v>
      </c>
      <c r="B28" s="1" t="s">
        <v>6</v>
      </c>
      <c r="C28" s="3" t="s">
        <v>10</v>
      </c>
      <c r="D28" s="2">
        <v>279</v>
      </c>
      <c r="E28" s="5">
        <v>69</v>
      </c>
      <c r="F28" s="4">
        <f t="shared" si="1"/>
        <v>0.24731182795698925</v>
      </c>
      <c r="G28" s="66" t="s">
        <v>159</v>
      </c>
      <c r="H28" s="71">
        <v>55</v>
      </c>
      <c r="I28" s="73">
        <v>1265</v>
      </c>
      <c r="J28" s="71">
        <v>1975</v>
      </c>
    </row>
    <row r="29" spans="1:18" x14ac:dyDescent="0.2">
      <c r="A29" s="1" t="s">
        <v>119</v>
      </c>
      <c r="B29" s="1" t="s">
        <v>6</v>
      </c>
      <c r="C29" s="3" t="s">
        <v>51</v>
      </c>
      <c r="D29" s="2">
        <v>54</v>
      </c>
      <c r="E29" s="5">
        <v>20</v>
      </c>
      <c r="F29" s="4">
        <f t="shared" si="1"/>
        <v>0.37037037037037035</v>
      </c>
      <c r="G29" s="66" t="s">
        <v>159</v>
      </c>
      <c r="H29" s="71">
        <v>55</v>
      </c>
      <c r="I29" s="73">
        <v>1265</v>
      </c>
      <c r="J29" s="71">
        <v>1975</v>
      </c>
    </row>
    <row r="30" spans="1:18" x14ac:dyDescent="0.2">
      <c r="A30" s="1" t="s">
        <v>119</v>
      </c>
      <c r="B30" s="1" t="s">
        <v>6</v>
      </c>
      <c r="C30" s="3" t="s">
        <v>12</v>
      </c>
      <c r="D30" s="2">
        <v>62</v>
      </c>
      <c r="E30" s="5">
        <v>21</v>
      </c>
      <c r="F30" s="4">
        <f t="shared" si="1"/>
        <v>0.33870967741935482</v>
      </c>
      <c r="G30" s="66" t="s">
        <v>159</v>
      </c>
      <c r="H30" s="71">
        <v>55</v>
      </c>
      <c r="I30" s="73">
        <v>1265</v>
      </c>
      <c r="J30" s="71">
        <v>1975</v>
      </c>
    </row>
    <row r="31" spans="1:18" x14ac:dyDescent="0.2">
      <c r="A31" s="1" t="s">
        <v>119</v>
      </c>
      <c r="B31" s="1" t="s">
        <v>6</v>
      </c>
      <c r="C31" s="3" t="s">
        <v>118</v>
      </c>
      <c r="D31" s="2">
        <v>46</v>
      </c>
      <c r="E31" s="5">
        <v>14</v>
      </c>
      <c r="F31" s="4">
        <f t="shared" si="1"/>
        <v>0.30434782608695654</v>
      </c>
      <c r="G31" s="66" t="s">
        <v>159</v>
      </c>
      <c r="H31" s="71">
        <v>55</v>
      </c>
      <c r="I31" s="73">
        <v>1265</v>
      </c>
      <c r="J31" s="71">
        <v>1975</v>
      </c>
    </row>
    <row r="32" spans="1:18" x14ac:dyDescent="0.2">
      <c r="A32" s="1" t="s">
        <v>119</v>
      </c>
      <c r="B32" s="1" t="s">
        <v>6</v>
      </c>
      <c r="C32" s="3" t="s">
        <v>120</v>
      </c>
      <c r="D32" s="2">
        <v>173</v>
      </c>
      <c r="E32" s="5">
        <v>100</v>
      </c>
      <c r="F32" s="4">
        <f t="shared" si="1"/>
        <v>0.5780346820809249</v>
      </c>
      <c r="G32" s="66" t="s">
        <v>159</v>
      </c>
      <c r="H32" s="71">
        <v>55</v>
      </c>
      <c r="I32" s="73">
        <v>1265</v>
      </c>
      <c r="J32" s="71">
        <v>1975</v>
      </c>
    </row>
    <row r="33" spans="1:18" s="29" customFormat="1" ht="17" thickBot="1" x14ac:dyDescent="0.25">
      <c r="A33" s="48" t="s">
        <v>119</v>
      </c>
      <c r="B33" s="48" t="s">
        <v>6</v>
      </c>
      <c r="C33" s="49" t="s">
        <v>32</v>
      </c>
      <c r="D33" s="50">
        <v>264</v>
      </c>
      <c r="E33" s="51">
        <v>49</v>
      </c>
      <c r="F33" s="53">
        <f t="shared" si="1"/>
        <v>0.18560606060606061</v>
      </c>
      <c r="G33" s="66" t="s">
        <v>159</v>
      </c>
      <c r="H33" s="71">
        <v>55</v>
      </c>
      <c r="I33" s="73">
        <v>1265</v>
      </c>
      <c r="J33" s="71">
        <v>1975</v>
      </c>
      <c r="K33" s="71"/>
      <c r="L33" s="71"/>
      <c r="M33" s="71"/>
      <c r="N33" s="71"/>
      <c r="O33" s="71"/>
      <c r="P33" s="71"/>
      <c r="Q33" s="71"/>
      <c r="R33" s="71"/>
    </row>
    <row r="34" spans="1:18" x14ac:dyDescent="0.2">
      <c r="A34" s="1" t="s">
        <v>121</v>
      </c>
      <c r="B34" s="1" t="s">
        <v>99</v>
      </c>
      <c r="C34" s="3" t="s">
        <v>1</v>
      </c>
      <c r="D34" s="2">
        <v>338</v>
      </c>
      <c r="E34" s="5">
        <v>104</v>
      </c>
      <c r="F34" s="4">
        <f t="shared" si="1"/>
        <v>0.30769230769230771</v>
      </c>
      <c r="G34" s="66" t="s">
        <v>161</v>
      </c>
      <c r="H34" s="67">
        <v>4</v>
      </c>
      <c r="I34" s="73">
        <v>425</v>
      </c>
      <c r="J34" s="67">
        <v>1986</v>
      </c>
    </row>
    <row r="35" spans="1:18" x14ac:dyDescent="0.2">
      <c r="A35" s="1" t="s">
        <v>121</v>
      </c>
      <c r="B35" s="1" t="s">
        <v>99</v>
      </c>
      <c r="C35" s="3" t="s">
        <v>51</v>
      </c>
      <c r="D35" s="2">
        <v>49</v>
      </c>
      <c r="E35" s="5">
        <v>36</v>
      </c>
      <c r="F35" s="4">
        <f t="shared" si="1"/>
        <v>0.73469387755102045</v>
      </c>
      <c r="G35" s="66" t="s">
        <v>161</v>
      </c>
      <c r="H35" s="67">
        <v>4</v>
      </c>
      <c r="I35" s="73">
        <v>425</v>
      </c>
      <c r="J35" s="67">
        <v>1986</v>
      </c>
    </row>
    <row r="36" spans="1:18" x14ac:dyDescent="0.2">
      <c r="A36" s="1" t="s">
        <v>121</v>
      </c>
      <c r="B36" s="1" t="s">
        <v>99</v>
      </c>
      <c r="C36" s="3" t="s">
        <v>9</v>
      </c>
      <c r="D36" s="2">
        <v>44</v>
      </c>
      <c r="E36" s="5">
        <v>13</v>
      </c>
      <c r="F36" s="4">
        <f t="shared" si="1"/>
        <v>0.29545454545454547</v>
      </c>
      <c r="G36" s="66" t="s">
        <v>161</v>
      </c>
      <c r="H36" s="67">
        <v>4</v>
      </c>
      <c r="I36" s="73">
        <v>425</v>
      </c>
      <c r="J36" s="67">
        <v>1986</v>
      </c>
    </row>
    <row r="37" spans="1:18" x14ac:dyDescent="0.2">
      <c r="A37" s="1" t="s">
        <v>121</v>
      </c>
      <c r="B37" s="1" t="s">
        <v>99</v>
      </c>
      <c r="C37" s="3" t="s">
        <v>29</v>
      </c>
      <c r="D37" s="2">
        <v>56</v>
      </c>
      <c r="E37" s="5">
        <v>12</v>
      </c>
      <c r="F37" s="4">
        <f t="shared" si="1"/>
        <v>0.21428571428571427</v>
      </c>
      <c r="G37" s="66" t="s">
        <v>161</v>
      </c>
      <c r="H37" s="67">
        <v>4</v>
      </c>
      <c r="I37" s="73">
        <v>425</v>
      </c>
      <c r="J37" s="67">
        <v>1986</v>
      </c>
    </row>
    <row r="38" spans="1:18" x14ac:dyDescent="0.2">
      <c r="A38" s="1" t="s">
        <v>121</v>
      </c>
      <c r="B38" s="1" t="s">
        <v>99</v>
      </c>
      <c r="C38" s="3" t="s">
        <v>30</v>
      </c>
      <c r="D38" s="2">
        <v>50</v>
      </c>
      <c r="E38" s="5">
        <v>8</v>
      </c>
      <c r="F38" s="4">
        <f t="shared" si="1"/>
        <v>0.16</v>
      </c>
      <c r="G38" s="66" t="s">
        <v>161</v>
      </c>
      <c r="H38" s="67">
        <v>4</v>
      </c>
      <c r="I38" s="73">
        <v>425</v>
      </c>
      <c r="J38" s="67">
        <v>1986</v>
      </c>
    </row>
    <row r="39" spans="1:18" x14ac:dyDescent="0.2">
      <c r="A39" s="1" t="s">
        <v>121</v>
      </c>
      <c r="B39" s="1" t="s">
        <v>99</v>
      </c>
      <c r="C39" s="3" t="s">
        <v>10</v>
      </c>
      <c r="D39" s="2">
        <v>129</v>
      </c>
      <c r="E39" s="5">
        <v>20</v>
      </c>
      <c r="F39" s="4">
        <f t="shared" si="1"/>
        <v>0.15503875968992248</v>
      </c>
      <c r="G39" s="66" t="s">
        <v>161</v>
      </c>
      <c r="H39" s="67">
        <v>4</v>
      </c>
      <c r="I39" s="73">
        <v>425</v>
      </c>
      <c r="J39" s="67">
        <v>1986</v>
      </c>
    </row>
    <row r="40" spans="1:18" x14ac:dyDescent="0.2">
      <c r="A40" s="1" t="s">
        <v>121</v>
      </c>
      <c r="B40" s="1" t="s">
        <v>99</v>
      </c>
      <c r="C40" s="3" t="s">
        <v>120</v>
      </c>
      <c r="D40" s="2">
        <v>19</v>
      </c>
      <c r="E40" s="5">
        <v>14</v>
      </c>
      <c r="F40" s="4">
        <f t="shared" si="1"/>
        <v>0.73684210526315785</v>
      </c>
      <c r="G40" s="66" t="s">
        <v>161</v>
      </c>
      <c r="H40" s="67">
        <v>4</v>
      </c>
      <c r="I40" s="73">
        <v>425</v>
      </c>
      <c r="J40" s="67">
        <v>1986</v>
      </c>
    </row>
    <row r="41" spans="1:18" x14ac:dyDescent="0.2">
      <c r="A41" s="1" t="s">
        <v>121</v>
      </c>
      <c r="B41" s="1" t="s">
        <v>99</v>
      </c>
      <c r="C41" s="3" t="s">
        <v>32</v>
      </c>
      <c r="D41" s="2">
        <v>211</v>
      </c>
      <c r="E41" s="5">
        <v>9</v>
      </c>
      <c r="F41" s="4">
        <f t="shared" si="1"/>
        <v>4.2654028436018961E-2</v>
      </c>
      <c r="G41" s="66" t="s">
        <v>161</v>
      </c>
      <c r="H41" s="67">
        <v>4</v>
      </c>
      <c r="I41" s="73">
        <v>425</v>
      </c>
      <c r="J41" s="67">
        <v>1986</v>
      </c>
    </row>
    <row r="42" spans="1:18" x14ac:dyDescent="0.2">
      <c r="A42" s="1" t="s">
        <v>121</v>
      </c>
      <c r="B42" s="1" t="s">
        <v>99</v>
      </c>
      <c r="C42" s="3" t="s">
        <v>56</v>
      </c>
      <c r="D42" s="2">
        <v>21</v>
      </c>
      <c r="E42" s="5">
        <v>3</v>
      </c>
      <c r="F42" s="4">
        <f t="shared" si="1"/>
        <v>0.14285714285714285</v>
      </c>
      <c r="G42" s="66" t="s">
        <v>161</v>
      </c>
      <c r="H42" s="67">
        <v>4</v>
      </c>
      <c r="I42" s="73">
        <v>425</v>
      </c>
      <c r="J42" s="67">
        <v>1986</v>
      </c>
    </row>
    <row r="43" spans="1:18" x14ac:dyDescent="0.2">
      <c r="A43" s="1" t="s">
        <v>121</v>
      </c>
      <c r="B43" s="1" t="s">
        <v>99</v>
      </c>
      <c r="C43" s="3" t="s">
        <v>8</v>
      </c>
      <c r="D43" s="2">
        <v>311</v>
      </c>
      <c r="E43" s="5">
        <v>22</v>
      </c>
      <c r="F43" s="4">
        <f t="shared" si="1"/>
        <v>7.0739549839228297E-2</v>
      </c>
      <c r="G43" s="66" t="s">
        <v>161</v>
      </c>
      <c r="H43" s="67">
        <v>4</v>
      </c>
      <c r="I43" s="73">
        <v>425</v>
      </c>
      <c r="J43" s="67">
        <v>1986</v>
      </c>
    </row>
    <row r="44" spans="1:18" x14ac:dyDescent="0.2">
      <c r="A44" s="1" t="s">
        <v>121</v>
      </c>
      <c r="B44" s="1" t="s">
        <v>99</v>
      </c>
      <c r="C44" s="3" t="s">
        <v>12</v>
      </c>
      <c r="D44" s="2">
        <v>16</v>
      </c>
      <c r="E44" s="5">
        <v>2</v>
      </c>
      <c r="F44" s="4">
        <f t="shared" si="1"/>
        <v>0.125</v>
      </c>
      <c r="G44" s="66" t="s">
        <v>161</v>
      </c>
      <c r="H44" s="67">
        <v>4</v>
      </c>
      <c r="I44" s="73">
        <v>425</v>
      </c>
      <c r="J44" s="67">
        <v>1986</v>
      </c>
    </row>
    <row r="45" spans="1:18" x14ac:dyDescent="0.2">
      <c r="A45" s="1" t="s">
        <v>121</v>
      </c>
      <c r="B45" s="1" t="s">
        <v>99</v>
      </c>
      <c r="C45" s="3" t="s">
        <v>13</v>
      </c>
      <c r="D45" s="2">
        <v>45</v>
      </c>
      <c r="E45" s="5">
        <v>4</v>
      </c>
      <c r="F45" s="4">
        <f t="shared" si="1"/>
        <v>8.8888888888888892E-2</v>
      </c>
      <c r="G45" s="66" t="s">
        <v>161</v>
      </c>
      <c r="H45" s="67">
        <v>4</v>
      </c>
      <c r="I45" s="73">
        <v>425</v>
      </c>
      <c r="J45" s="67">
        <v>1986</v>
      </c>
    </row>
    <row r="46" spans="1:18" x14ac:dyDescent="0.2">
      <c r="A46" s="1" t="s">
        <v>121</v>
      </c>
      <c r="B46" s="1" t="s">
        <v>99</v>
      </c>
      <c r="C46" s="3" t="s">
        <v>14</v>
      </c>
      <c r="D46" s="2">
        <v>134</v>
      </c>
      <c r="E46" s="5">
        <v>9</v>
      </c>
      <c r="F46" s="4">
        <f t="shared" si="1"/>
        <v>6.7164179104477612E-2</v>
      </c>
      <c r="G46" s="66" t="s">
        <v>161</v>
      </c>
      <c r="H46" s="67">
        <v>4</v>
      </c>
      <c r="I46" s="73">
        <v>425</v>
      </c>
      <c r="J46" s="67">
        <v>1986</v>
      </c>
    </row>
    <row r="47" spans="1:18" x14ac:dyDescent="0.2">
      <c r="A47" s="1" t="s">
        <v>121</v>
      </c>
      <c r="B47" s="1" t="s">
        <v>99</v>
      </c>
      <c r="C47" s="3" t="s">
        <v>16</v>
      </c>
      <c r="D47" s="2">
        <v>71</v>
      </c>
      <c r="E47" s="5">
        <v>3</v>
      </c>
      <c r="F47" s="4">
        <f t="shared" si="1"/>
        <v>4.2253521126760563E-2</v>
      </c>
      <c r="G47" s="66" t="s">
        <v>161</v>
      </c>
      <c r="H47" s="67">
        <v>4</v>
      </c>
      <c r="I47" s="73">
        <v>425</v>
      </c>
      <c r="J47" s="67">
        <v>1986</v>
      </c>
    </row>
    <row r="48" spans="1:18" x14ac:dyDescent="0.2">
      <c r="A48" s="1" t="s">
        <v>121</v>
      </c>
      <c r="B48" s="1" t="s">
        <v>99</v>
      </c>
      <c r="C48" s="3" t="s">
        <v>42</v>
      </c>
      <c r="D48" s="2">
        <v>10</v>
      </c>
      <c r="E48" s="5">
        <v>1</v>
      </c>
      <c r="F48" s="4">
        <f t="shared" si="1"/>
        <v>0.1</v>
      </c>
      <c r="G48" s="66" t="s">
        <v>161</v>
      </c>
      <c r="H48" s="67">
        <v>4</v>
      </c>
      <c r="I48" s="73">
        <v>425</v>
      </c>
      <c r="J48" s="67">
        <v>1986</v>
      </c>
    </row>
    <row r="49" spans="1:18" ht="17" thickBot="1" x14ac:dyDescent="0.25">
      <c r="A49" s="1" t="s">
        <v>121</v>
      </c>
      <c r="B49" s="1" t="s">
        <v>99</v>
      </c>
      <c r="C49" s="3" t="s">
        <v>118</v>
      </c>
      <c r="D49" s="2">
        <v>9</v>
      </c>
      <c r="E49" s="5">
        <v>2</v>
      </c>
      <c r="F49" s="4">
        <f t="shared" si="1"/>
        <v>0.22222222222222221</v>
      </c>
      <c r="G49" s="66" t="s">
        <v>161</v>
      </c>
      <c r="H49" s="67">
        <v>4</v>
      </c>
      <c r="I49" s="73">
        <v>425</v>
      </c>
      <c r="J49" s="67">
        <v>1986</v>
      </c>
    </row>
    <row r="50" spans="1:18" s="16" customFormat="1" x14ac:dyDescent="0.2">
      <c r="A50" s="11" t="s">
        <v>105</v>
      </c>
      <c r="B50" s="11" t="s">
        <v>106</v>
      </c>
      <c r="C50" s="12" t="s">
        <v>9</v>
      </c>
      <c r="D50" s="14">
        <v>285</v>
      </c>
      <c r="E50" s="15">
        <v>66</v>
      </c>
      <c r="F50" s="4">
        <f t="shared" si="0"/>
        <v>0.23157894736842105</v>
      </c>
      <c r="G50" s="66" t="s">
        <v>160</v>
      </c>
      <c r="H50" s="71">
        <v>2</v>
      </c>
      <c r="I50" s="73">
        <v>417</v>
      </c>
      <c r="J50" s="71">
        <v>1976</v>
      </c>
      <c r="K50" s="71"/>
      <c r="L50" s="71"/>
      <c r="M50" s="71"/>
      <c r="N50" s="71"/>
      <c r="O50" s="71"/>
      <c r="P50" s="71"/>
      <c r="Q50" s="71"/>
      <c r="R50" s="71"/>
    </row>
    <row r="51" spans="1:18" x14ac:dyDescent="0.2">
      <c r="A51" s="1" t="s">
        <v>105</v>
      </c>
      <c r="B51" s="1" t="s">
        <v>106</v>
      </c>
      <c r="C51" s="3" t="s">
        <v>1</v>
      </c>
      <c r="D51" s="2">
        <v>307</v>
      </c>
      <c r="E51" s="5">
        <v>53</v>
      </c>
      <c r="F51" s="4">
        <f t="shared" si="0"/>
        <v>0.17263843648208468</v>
      </c>
      <c r="G51" s="66" t="s">
        <v>160</v>
      </c>
      <c r="H51" s="71">
        <v>2</v>
      </c>
      <c r="I51" s="73">
        <v>417</v>
      </c>
      <c r="J51" s="71">
        <v>1976</v>
      </c>
    </row>
    <row r="52" spans="1:18" x14ac:dyDescent="0.2">
      <c r="A52" s="1" t="s">
        <v>105</v>
      </c>
      <c r="B52" s="1" t="s">
        <v>106</v>
      </c>
      <c r="C52" s="3" t="s">
        <v>14</v>
      </c>
      <c r="D52" s="2">
        <v>77</v>
      </c>
      <c r="E52" s="5">
        <v>7</v>
      </c>
      <c r="F52" s="4">
        <f t="shared" si="0"/>
        <v>9.0909090909090912E-2</v>
      </c>
      <c r="G52" s="66" t="s">
        <v>160</v>
      </c>
      <c r="H52" s="71">
        <v>2</v>
      </c>
      <c r="I52" s="73">
        <v>417</v>
      </c>
      <c r="J52" s="71">
        <v>1976</v>
      </c>
    </row>
    <row r="53" spans="1:18" x14ac:dyDescent="0.2">
      <c r="A53" s="1" t="s">
        <v>107</v>
      </c>
      <c r="B53" s="1" t="s">
        <v>106</v>
      </c>
      <c r="C53" s="3" t="s">
        <v>8</v>
      </c>
      <c r="D53" s="2">
        <v>58</v>
      </c>
      <c r="E53" s="5">
        <v>4</v>
      </c>
      <c r="F53" s="4">
        <f t="shared" si="0"/>
        <v>6.8965517241379309E-2</v>
      </c>
      <c r="G53" s="66" t="s">
        <v>160</v>
      </c>
      <c r="H53" s="71">
        <v>2</v>
      </c>
      <c r="I53" s="73">
        <v>417</v>
      </c>
      <c r="J53" s="71">
        <v>1976</v>
      </c>
    </row>
    <row r="54" spans="1:18" x14ac:dyDescent="0.2">
      <c r="A54" s="1" t="s">
        <v>107</v>
      </c>
      <c r="B54" s="1" t="s">
        <v>106</v>
      </c>
      <c r="C54" s="3" t="s">
        <v>32</v>
      </c>
      <c r="D54" s="2">
        <v>183</v>
      </c>
      <c r="E54" s="5">
        <v>27</v>
      </c>
      <c r="F54" s="4">
        <f t="shared" si="0"/>
        <v>0.14754098360655737</v>
      </c>
      <c r="G54" s="66" t="s">
        <v>160</v>
      </c>
      <c r="H54" s="71">
        <v>2</v>
      </c>
      <c r="I54" s="73">
        <v>417</v>
      </c>
      <c r="J54" s="71">
        <v>1976</v>
      </c>
    </row>
    <row r="55" spans="1:18" x14ac:dyDescent="0.2">
      <c r="A55" s="1" t="s">
        <v>107</v>
      </c>
      <c r="B55" s="1" t="s">
        <v>106</v>
      </c>
      <c r="C55" s="3" t="s">
        <v>30</v>
      </c>
      <c r="D55" s="2">
        <v>16</v>
      </c>
      <c r="E55" s="5">
        <v>1</v>
      </c>
      <c r="F55" s="4">
        <f t="shared" si="0"/>
        <v>6.25E-2</v>
      </c>
      <c r="G55" s="66" t="s">
        <v>160</v>
      </c>
      <c r="H55" s="71">
        <v>2</v>
      </c>
      <c r="I55" s="73">
        <v>417</v>
      </c>
      <c r="J55" s="71">
        <v>1976</v>
      </c>
    </row>
    <row r="56" spans="1:18" x14ac:dyDescent="0.2">
      <c r="A56" s="1" t="s">
        <v>107</v>
      </c>
      <c r="B56" s="1" t="s">
        <v>106</v>
      </c>
      <c r="C56" s="3" t="s">
        <v>37</v>
      </c>
      <c r="D56" s="2">
        <v>13</v>
      </c>
      <c r="E56" s="5">
        <v>2</v>
      </c>
      <c r="F56" s="4">
        <f t="shared" si="0"/>
        <v>0.15384615384615385</v>
      </c>
      <c r="G56" s="66" t="s">
        <v>160</v>
      </c>
      <c r="H56" s="71">
        <v>2</v>
      </c>
      <c r="I56" s="73">
        <v>417</v>
      </c>
      <c r="J56" s="71">
        <v>1976</v>
      </c>
    </row>
    <row r="57" spans="1:18" x14ac:dyDescent="0.2">
      <c r="A57" s="1" t="s">
        <v>107</v>
      </c>
      <c r="B57" s="1" t="s">
        <v>79</v>
      </c>
      <c r="C57" s="3" t="s">
        <v>1</v>
      </c>
      <c r="D57" s="2">
        <v>169</v>
      </c>
      <c r="E57" s="5">
        <v>50</v>
      </c>
      <c r="F57" s="4">
        <f t="shared" si="0"/>
        <v>0.29585798816568049</v>
      </c>
      <c r="G57" s="66" t="s">
        <v>160</v>
      </c>
      <c r="H57" s="71">
        <v>2</v>
      </c>
      <c r="I57" s="73">
        <v>417</v>
      </c>
      <c r="J57" s="71">
        <v>1976</v>
      </c>
    </row>
    <row r="58" spans="1:18" x14ac:dyDescent="0.2">
      <c r="A58" s="1" t="s">
        <v>107</v>
      </c>
      <c r="B58" s="1" t="s">
        <v>79</v>
      </c>
      <c r="C58" s="3" t="s">
        <v>8</v>
      </c>
      <c r="D58" s="2">
        <v>359</v>
      </c>
      <c r="E58" s="5">
        <v>75</v>
      </c>
      <c r="F58" s="4">
        <f t="shared" si="0"/>
        <v>0.20891364902506965</v>
      </c>
      <c r="G58" s="66" t="s">
        <v>160</v>
      </c>
      <c r="H58" s="71">
        <v>2</v>
      </c>
      <c r="I58" s="73">
        <v>417</v>
      </c>
      <c r="J58" s="71">
        <v>1976</v>
      </c>
    </row>
    <row r="59" spans="1:18" x14ac:dyDescent="0.2">
      <c r="A59" s="1" t="s">
        <v>107</v>
      </c>
      <c r="B59" s="1" t="s">
        <v>79</v>
      </c>
      <c r="C59" s="3" t="s">
        <v>13</v>
      </c>
      <c r="D59" s="2">
        <v>40</v>
      </c>
      <c r="E59" s="5">
        <v>3</v>
      </c>
      <c r="F59" s="4">
        <f t="shared" si="0"/>
        <v>7.4999999999999997E-2</v>
      </c>
      <c r="G59" s="66" t="s">
        <v>160</v>
      </c>
      <c r="H59" s="71">
        <v>2</v>
      </c>
      <c r="I59" s="73">
        <v>417</v>
      </c>
      <c r="J59" s="71">
        <v>1976</v>
      </c>
    </row>
    <row r="60" spans="1:18" x14ac:dyDescent="0.2">
      <c r="A60" s="1" t="s">
        <v>107</v>
      </c>
      <c r="B60" s="1" t="s">
        <v>79</v>
      </c>
      <c r="C60" s="3" t="s">
        <v>32</v>
      </c>
      <c r="D60" s="2">
        <v>33</v>
      </c>
      <c r="E60" s="5">
        <v>5</v>
      </c>
      <c r="F60" s="4">
        <f t="shared" si="0"/>
        <v>0.15151515151515152</v>
      </c>
      <c r="G60" s="66" t="s">
        <v>160</v>
      </c>
      <c r="H60" s="71">
        <v>2</v>
      </c>
      <c r="I60" s="73">
        <v>417</v>
      </c>
      <c r="J60" s="71">
        <v>1976</v>
      </c>
    </row>
    <row r="61" spans="1:18" x14ac:dyDescent="0.2">
      <c r="A61" s="1" t="s">
        <v>107</v>
      </c>
      <c r="B61" s="1" t="s">
        <v>79</v>
      </c>
      <c r="C61" s="3" t="s">
        <v>16</v>
      </c>
      <c r="D61" s="2">
        <v>22</v>
      </c>
      <c r="E61" s="5">
        <v>1</v>
      </c>
      <c r="F61" s="4">
        <f t="shared" si="0"/>
        <v>4.5454545454545456E-2</v>
      </c>
      <c r="G61" s="66" t="s">
        <v>160</v>
      </c>
      <c r="H61" s="71">
        <v>2</v>
      </c>
      <c r="I61" s="73">
        <v>417</v>
      </c>
      <c r="J61" s="71">
        <v>1976</v>
      </c>
    </row>
    <row r="62" spans="1:18" x14ac:dyDescent="0.2">
      <c r="A62" s="1" t="s">
        <v>107</v>
      </c>
      <c r="B62" s="1" t="s">
        <v>79</v>
      </c>
      <c r="C62" s="3" t="s">
        <v>10</v>
      </c>
      <c r="D62" s="2">
        <v>21</v>
      </c>
      <c r="E62" s="5">
        <v>1</v>
      </c>
      <c r="F62" s="4">
        <f t="shared" si="0"/>
        <v>4.7619047619047616E-2</v>
      </c>
      <c r="G62" s="66" t="s">
        <v>160</v>
      </c>
      <c r="H62" s="71">
        <v>2</v>
      </c>
      <c r="I62" s="73">
        <v>417</v>
      </c>
      <c r="J62" s="71">
        <v>1976</v>
      </c>
    </row>
    <row r="63" spans="1:18" x14ac:dyDescent="0.2">
      <c r="A63" s="1" t="s">
        <v>107</v>
      </c>
      <c r="B63" s="1" t="s">
        <v>79</v>
      </c>
      <c r="C63" s="3" t="s">
        <v>30</v>
      </c>
      <c r="D63" s="2">
        <v>37</v>
      </c>
      <c r="E63" s="5">
        <v>17</v>
      </c>
      <c r="F63" s="4">
        <f t="shared" si="0"/>
        <v>0.45945945945945948</v>
      </c>
      <c r="G63" s="66" t="s">
        <v>160</v>
      </c>
      <c r="H63" s="71">
        <v>2</v>
      </c>
      <c r="I63" s="73">
        <v>417</v>
      </c>
      <c r="J63" s="71">
        <v>1976</v>
      </c>
    </row>
    <row r="64" spans="1:18" x14ac:dyDescent="0.2">
      <c r="A64" s="1" t="s">
        <v>107</v>
      </c>
      <c r="B64" s="1" t="s">
        <v>79</v>
      </c>
      <c r="C64" s="3" t="s">
        <v>14</v>
      </c>
      <c r="D64" s="2">
        <v>17</v>
      </c>
      <c r="E64" s="5">
        <v>2</v>
      </c>
      <c r="F64" s="4">
        <f t="shared" si="0"/>
        <v>0.11764705882352941</v>
      </c>
      <c r="G64" s="66" t="s">
        <v>160</v>
      </c>
      <c r="H64" s="71">
        <v>2</v>
      </c>
      <c r="I64" s="73">
        <v>417</v>
      </c>
      <c r="J64" s="71">
        <v>1976</v>
      </c>
    </row>
    <row r="65" spans="1:18" x14ac:dyDescent="0.2">
      <c r="A65" s="1" t="s">
        <v>107</v>
      </c>
      <c r="B65" s="1" t="s">
        <v>79</v>
      </c>
      <c r="C65" s="3" t="s">
        <v>9</v>
      </c>
      <c r="D65" s="2">
        <v>17</v>
      </c>
      <c r="E65" s="5">
        <v>3</v>
      </c>
      <c r="F65" s="4">
        <f t="shared" si="0"/>
        <v>0.17647058823529413</v>
      </c>
      <c r="G65" s="66" t="s">
        <v>160</v>
      </c>
      <c r="H65" s="71">
        <v>2</v>
      </c>
      <c r="I65" s="73">
        <v>417</v>
      </c>
      <c r="J65" s="71">
        <v>1976</v>
      </c>
    </row>
    <row r="66" spans="1:18" x14ac:dyDescent="0.2">
      <c r="A66" s="1" t="s">
        <v>107</v>
      </c>
      <c r="B66" s="1" t="s">
        <v>22</v>
      </c>
      <c r="C66" s="3" t="s">
        <v>8</v>
      </c>
      <c r="D66" s="2">
        <v>51</v>
      </c>
      <c r="E66" s="5">
        <v>1</v>
      </c>
      <c r="F66" s="4">
        <f t="shared" si="0"/>
        <v>1.9607843137254902E-2</v>
      </c>
      <c r="G66" s="66" t="s">
        <v>160</v>
      </c>
      <c r="H66" s="71">
        <v>2</v>
      </c>
      <c r="I66" s="73">
        <v>417</v>
      </c>
      <c r="J66" s="71">
        <v>1976</v>
      </c>
    </row>
    <row r="67" spans="1:18" x14ac:dyDescent="0.2">
      <c r="A67" s="1" t="s">
        <v>107</v>
      </c>
      <c r="B67" s="1" t="s">
        <v>75</v>
      </c>
      <c r="C67" s="3" t="s">
        <v>11</v>
      </c>
      <c r="D67" s="2">
        <v>49</v>
      </c>
      <c r="E67" s="5">
        <v>30</v>
      </c>
      <c r="F67" s="4">
        <f t="shared" si="0"/>
        <v>0.61224489795918369</v>
      </c>
      <c r="G67" s="66" t="s">
        <v>160</v>
      </c>
      <c r="H67" s="71">
        <v>2</v>
      </c>
      <c r="I67" s="73">
        <v>417</v>
      </c>
      <c r="J67" s="71">
        <v>1976</v>
      </c>
    </row>
    <row r="68" spans="1:18" x14ac:dyDescent="0.2">
      <c r="A68" s="1" t="s">
        <v>107</v>
      </c>
      <c r="B68" s="1" t="s">
        <v>75</v>
      </c>
      <c r="C68" s="3" t="s">
        <v>9</v>
      </c>
      <c r="D68" s="2">
        <v>29</v>
      </c>
      <c r="E68" s="5">
        <v>5</v>
      </c>
      <c r="F68" s="4">
        <f t="shared" si="0"/>
        <v>0.17241379310344829</v>
      </c>
      <c r="G68" s="66" t="s">
        <v>160</v>
      </c>
      <c r="H68" s="71">
        <v>2</v>
      </c>
      <c r="I68" s="73">
        <v>417</v>
      </c>
      <c r="J68" s="71">
        <v>1976</v>
      </c>
    </row>
    <row r="69" spans="1:18" x14ac:dyDescent="0.2">
      <c r="A69" s="1" t="s">
        <v>107</v>
      </c>
      <c r="B69" s="1" t="s">
        <v>75</v>
      </c>
      <c r="C69" s="3" t="s">
        <v>8</v>
      </c>
      <c r="D69" s="2">
        <v>37</v>
      </c>
      <c r="E69" s="5">
        <v>0</v>
      </c>
      <c r="F69" s="4">
        <f t="shared" si="0"/>
        <v>0</v>
      </c>
      <c r="G69" s="66" t="s">
        <v>160</v>
      </c>
      <c r="H69" s="71">
        <v>2</v>
      </c>
      <c r="I69" s="73">
        <v>417</v>
      </c>
      <c r="J69" s="71">
        <v>1976</v>
      </c>
    </row>
    <row r="70" spans="1:18" x14ac:dyDescent="0.2">
      <c r="A70" s="1" t="s">
        <v>107</v>
      </c>
      <c r="B70" s="1" t="s">
        <v>75</v>
      </c>
      <c r="C70" s="3" t="s">
        <v>12</v>
      </c>
      <c r="D70" s="2">
        <v>29</v>
      </c>
      <c r="E70" s="5">
        <v>9</v>
      </c>
      <c r="F70" s="4">
        <f t="shared" si="0"/>
        <v>0.31034482758620691</v>
      </c>
      <c r="G70" s="66" t="s">
        <v>160</v>
      </c>
      <c r="H70" s="71">
        <v>2</v>
      </c>
      <c r="I70" s="73">
        <v>417</v>
      </c>
      <c r="J70" s="71">
        <v>1976</v>
      </c>
    </row>
    <row r="71" spans="1:18" x14ac:dyDescent="0.2">
      <c r="A71" s="1" t="s">
        <v>107</v>
      </c>
      <c r="B71" s="1" t="s">
        <v>75</v>
      </c>
      <c r="C71" s="3" t="s">
        <v>13</v>
      </c>
      <c r="D71" s="2">
        <v>25</v>
      </c>
      <c r="E71" s="5">
        <v>3</v>
      </c>
      <c r="F71" s="4">
        <f t="shared" si="0"/>
        <v>0.12</v>
      </c>
      <c r="G71" s="66" t="s">
        <v>160</v>
      </c>
      <c r="H71" s="71">
        <v>2</v>
      </c>
      <c r="I71" s="73">
        <v>417</v>
      </c>
      <c r="J71" s="71">
        <v>1976</v>
      </c>
    </row>
    <row r="72" spans="1:18" ht="17" thickBot="1" x14ac:dyDescent="0.25">
      <c r="A72" s="1" t="s">
        <v>107</v>
      </c>
      <c r="B72" s="1" t="s">
        <v>75</v>
      </c>
      <c r="C72" s="3" t="s">
        <v>32</v>
      </c>
      <c r="D72" s="2">
        <v>27</v>
      </c>
      <c r="E72" s="5">
        <v>2</v>
      </c>
      <c r="F72" s="4">
        <f t="shared" si="0"/>
        <v>7.407407407407407E-2</v>
      </c>
      <c r="G72" s="66" t="s">
        <v>160</v>
      </c>
      <c r="H72" s="71">
        <v>2</v>
      </c>
      <c r="I72" s="73">
        <v>417</v>
      </c>
      <c r="J72" s="71">
        <v>1976</v>
      </c>
    </row>
    <row r="73" spans="1:18" s="16" customFormat="1" x14ac:dyDescent="0.2">
      <c r="A73" s="11" t="s">
        <v>108</v>
      </c>
      <c r="B73" s="11" t="s">
        <v>95</v>
      </c>
      <c r="C73" s="12" t="s">
        <v>1</v>
      </c>
      <c r="D73" s="14">
        <v>1130</v>
      </c>
      <c r="E73" s="15">
        <v>378</v>
      </c>
      <c r="F73" s="13">
        <f t="shared" si="0"/>
        <v>0.3345132743362832</v>
      </c>
      <c r="G73" s="66" t="s">
        <v>162</v>
      </c>
      <c r="H73" s="71">
        <v>4</v>
      </c>
      <c r="I73" s="73">
        <v>17</v>
      </c>
      <c r="J73" s="71">
        <v>1999</v>
      </c>
      <c r="K73" s="71"/>
      <c r="L73" s="71"/>
      <c r="M73" s="71"/>
      <c r="N73" s="71"/>
      <c r="O73" s="71"/>
      <c r="P73" s="71"/>
      <c r="Q73" s="71"/>
      <c r="R73" s="71"/>
    </row>
    <row r="74" spans="1:18" x14ac:dyDescent="0.2">
      <c r="A74" s="1" t="s">
        <v>108</v>
      </c>
      <c r="B74" s="1" t="s">
        <v>109</v>
      </c>
      <c r="C74" s="3" t="s">
        <v>1</v>
      </c>
      <c r="D74" s="2">
        <v>471</v>
      </c>
      <c r="E74" s="5">
        <v>199</v>
      </c>
      <c r="F74" s="4">
        <f t="shared" si="0"/>
        <v>0.42250530785562634</v>
      </c>
      <c r="G74" s="66" t="s">
        <v>162</v>
      </c>
      <c r="H74" s="71">
        <v>4</v>
      </c>
      <c r="I74" s="73">
        <v>17</v>
      </c>
      <c r="J74" s="71">
        <v>1999</v>
      </c>
    </row>
    <row r="75" spans="1:18" ht="17" thickBot="1" x14ac:dyDescent="0.25">
      <c r="A75" s="1" t="s">
        <v>108</v>
      </c>
      <c r="B75" s="1" t="s">
        <v>110</v>
      </c>
      <c r="C75" s="3" t="s">
        <v>1</v>
      </c>
      <c r="D75" s="2">
        <v>253</v>
      </c>
      <c r="E75" s="5">
        <v>149</v>
      </c>
      <c r="F75" s="4">
        <f t="shared" si="0"/>
        <v>0.58893280632411071</v>
      </c>
      <c r="G75" s="66" t="s">
        <v>162</v>
      </c>
      <c r="H75" s="71">
        <v>4</v>
      </c>
      <c r="I75" s="73">
        <v>17</v>
      </c>
      <c r="J75" s="71">
        <v>1999</v>
      </c>
    </row>
    <row r="76" spans="1:18" s="16" customFormat="1" x14ac:dyDescent="0.2">
      <c r="A76" s="11" t="s">
        <v>111</v>
      </c>
      <c r="B76" s="11" t="s">
        <v>18</v>
      </c>
      <c r="C76" s="12" t="s">
        <v>13</v>
      </c>
      <c r="D76" s="14">
        <v>158</v>
      </c>
      <c r="E76" s="15">
        <v>24</v>
      </c>
      <c r="F76" s="13">
        <f t="shared" si="0"/>
        <v>0.15189873417721519</v>
      </c>
      <c r="G76" s="66" t="s">
        <v>139</v>
      </c>
      <c r="H76" s="71">
        <v>31</v>
      </c>
      <c r="I76" s="73">
        <v>903</v>
      </c>
      <c r="J76" s="71">
        <v>1973</v>
      </c>
      <c r="K76" s="71"/>
      <c r="L76" s="71"/>
      <c r="M76" s="71"/>
      <c r="N76" s="71"/>
      <c r="O76" s="71"/>
      <c r="P76" s="71"/>
      <c r="Q76" s="71"/>
      <c r="R76" s="71"/>
    </row>
    <row r="77" spans="1:18" x14ac:dyDescent="0.2">
      <c r="A77" s="1" t="s">
        <v>111</v>
      </c>
      <c r="B77" s="1" t="s">
        <v>18</v>
      </c>
      <c r="C77" s="3" t="s">
        <v>37</v>
      </c>
      <c r="D77" s="2">
        <v>78</v>
      </c>
      <c r="E77" s="5">
        <v>8</v>
      </c>
      <c r="F77" s="4">
        <f t="shared" si="0"/>
        <v>0.10256410256410256</v>
      </c>
      <c r="G77" s="66" t="s">
        <v>139</v>
      </c>
      <c r="H77" s="71">
        <v>31</v>
      </c>
      <c r="I77" s="73">
        <v>903</v>
      </c>
      <c r="J77" s="71">
        <v>1973</v>
      </c>
    </row>
    <row r="78" spans="1:18" x14ac:dyDescent="0.2">
      <c r="A78" s="1" t="s">
        <v>111</v>
      </c>
      <c r="B78" s="1" t="s">
        <v>18</v>
      </c>
      <c r="C78" s="3" t="s">
        <v>51</v>
      </c>
      <c r="D78" s="2">
        <v>198</v>
      </c>
      <c r="E78" s="5">
        <v>77</v>
      </c>
      <c r="F78" s="4">
        <f t="shared" si="0"/>
        <v>0.3888888888888889</v>
      </c>
      <c r="G78" s="66" t="s">
        <v>139</v>
      </c>
      <c r="H78" s="71">
        <v>31</v>
      </c>
      <c r="I78" s="73">
        <v>903</v>
      </c>
      <c r="J78" s="71">
        <v>1973</v>
      </c>
    </row>
    <row r="79" spans="1:18" ht="17" thickBot="1" x14ac:dyDescent="0.25">
      <c r="A79" s="1" t="s">
        <v>111</v>
      </c>
      <c r="B79" s="1" t="s">
        <v>18</v>
      </c>
      <c r="C79" s="3" t="s">
        <v>11</v>
      </c>
      <c r="D79" s="2">
        <v>37</v>
      </c>
      <c r="E79" s="5">
        <v>9</v>
      </c>
      <c r="F79" s="4">
        <f t="shared" si="0"/>
        <v>0.24324324324324326</v>
      </c>
      <c r="G79" s="66" t="s">
        <v>139</v>
      </c>
      <c r="H79" s="71">
        <v>31</v>
      </c>
      <c r="I79" s="73">
        <v>903</v>
      </c>
      <c r="J79" s="71">
        <v>1973</v>
      </c>
    </row>
    <row r="80" spans="1:18" s="16" customFormat="1" x14ac:dyDescent="0.2">
      <c r="A80" s="11" t="s">
        <v>112</v>
      </c>
      <c r="B80" s="11" t="s">
        <v>93</v>
      </c>
      <c r="C80" s="12" t="s">
        <v>9</v>
      </c>
      <c r="D80" s="14">
        <v>79</v>
      </c>
      <c r="E80" s="15">
        <v>45</v>
      </c>
      <c r="F80" s="13">
        <f t="shared" si="0"/>
        <v>0.569620253164557</v>
      </c>
      <c r="G80" s="66" t="s">
        <v>141</v>
      </c>
      <c r="H80" s="71">
        <v>12</v>
      </c>
      <c r="I80" s="73">
        <v>125</v>
      </c>
      <c r="J80" s="71">
        <v>1985</v>
      </c>
      <c r="K80" s="71"/>
      <c r="L80" s="71"/>
      <c r="M80" s="71"/>
      <c r="N80" s="71"/>
      <c r="O80" s="71"/>
      <c r="P80" s="71"/>
      <c r="Q80" s="71"/>
      <c r="R80" s="71"/>
    </row>
    <row r="81" spans="1:18" x14ac:dyDescent="0.2">
      <c r="A81" s="1" t="s">
        <v>112</v>
      </c>
      <c r="B81" s="1" t="s">
        <v>75</v>
      </c>
      <c r="C81" s="3" t="s">
        <v>9</v>
      </c>
      <c r="D81" s="2">
        <v>463</v>
      </c>
      <c r="E81" s="5">
        <v>189</v>
      </c>
      <c r="F81" s="4">
        <f t="shared" si="0"/>
        <v>0.40820734341252701</v>
      </c>
      <c r="G81" s="66" t="s">
        <v>141</v>
      </c>
      <c r="H81" s="71">
        <v>12</v>
      </c>
      <c r="I81" s="73">
        <v>125</v>
      </c>
      <c r="J81" s="71">
        <v>1985</v>
      </c>
    </row>
    <row r="82" spans="1:18" x14ac:dyDescent="0.2">
      <c r="A82" s="1" t="s">
        <v>112</v>
      </c>
      <c r="B82" s="1" t="s">
        <v>93</v>
      </c>
      <c r="C82" s="3" t="s">
        <v>13</v>
      </c>
      <c r="D82" s="2">
        <v>75</v>
      </c>
      <c r="E82" s="5">
        <v>19</v>
      </c>
      <c r="F82" s="4">
        <f t="shared" si="0"/>
        <v>0.25333333333333335</v>
      </c>
      <c r="G82" s="66" t="s">
        <v>141</v>
      </c>
      <c r="H82" s="71">
        <v>12</v>
      </c>
      <c r="I82" s="73">
        <v>125</v>
      </c>
      <c r="J82" s="71">
        <v>1985</v>
      </c>
    </row>
    <row r="83" spans="1:18" x14ac:dyDescent="0.2">
      <c r="A83" s="1" t="s">
        <v>112</v>
      </c>
      <c r="B83" s="1" t="s">
        <v>93</v>
      </c>
      <c r="C83" s="3" t="s">
        <v>32</v>
      </c>
      <c r="D83" s="2">
        <v>99</v>
      </c>
      <c r="E83" s="5">
        <v>4</v>
      </c>
      <c r="F83" s="4">
        <f t="shared" si="0"/>
        <v>4.0404040404040407E-2</v>
      </c>
      <c r="G83" s="66" t="s">
        <v>141</v>
      </c>
      <c r="H83" s="71">
        <v>12</v>
      </c>
      <c r="I83" s="73">
        <v>125</v>
      </c>
      <c r="J83" s="71">
        <v>1985</v>
      </c>
    </row>
    <row r="84" spans="1:18" x14ac:dyDescent="0.2">
      <c r="A84" s="1" t="s">
        <v>112</v>
      </c>
      <c r="B84" s="1" t="s">
        <v>93</v>
      </c>
      <c r="C84" s="3" t="s">
        <v>57</v>
      </c>
      <c r="D84" s="2">
        <v>21</v>
      </c>
      <c r="E84" s="5">
        <v>1</v>
      </c>
      <c r="F84" s="4">
        <f t="shared" si="0"/>
        <v>4.7619047619047616E-2</v>
      </c>
      <c r="G84" s="66" t="s">
        <v>141</v>
      </c>
      <c r="H84" s="71">
        <v>12</v>
      </c>
      <c r="I84" s="73">
        <v>125</v>
      </c>
      <c r="J84" s="71">
        <v>1985</v>
      </c>
    </row>
    <row r="85" spans="1:18" x14ac:dyDescent="0.2">
      <c r="A85" s="1" t="s">
        <v>112</v>
      </c>
      <c r="B85" s="1" t="s">
        <v>93</v>
      </c>
      <c r="C85" s="3" t="s">
        <v>30</v>
      </c>
      <c r="D85" s="2">
        <v>20</v>
      </c>
      <c r="E85" s="5">
        <v>0</v>
      </c>
      <c r="F85" s="4">
        <f t="shared" si="0"/>
        <v>0</v>
      </c>
      <c r="G85" s="66" t="s">
        <v>141</v>
      </c>
      <c r="H85" s="71">
        <v>12</v>
      </c>
      <c r="I85" s="73">
        <v>125</v>
      </c>
      <c r="J85" s="71">
        <v>1985</v>
      </c>
    </row>
    <row r="86" spans="1:18" x14ac:dyDescent="0.2">
      <c r="A86" s="1" t="s">
        <v>112</v>
      </c>
      <c r="B86" s="1" t="s">
        <v>93</v>
      </c>
      <c r="C86" s="3" t="s">
        <v>12</v>
      </c>
      <c r="D86" s="2">
        <v>14</v>
      </c>
      <c r="E86" s="5">
        <v>3</v>
      </c>
      <c r="F86" s="4">
        <f t="shared" si="0"/>
        <v>0.21428571428571427</v>
      </c>
      <c r="G86" s="66" t="s">
        <v>141</v>
      </c>
      <c r="H86" s="71">
        <v>12</v>
      </c>
      <c r="I86" s="73">
        <v>125</v>
      </c>
      <c r="J86" s="71">
        <v>1985</v>
      </c>
    </row>
    <row r="87" spans="1:18" x14ac:dyDescent="0.2">
      <c r="A87" s="1" t="s">
        <v>112</v>
      </c>
      <c r="B87" s="1" t="s">
        <v>93</v>
      </c>
      <c r="C87" s="3" t="s">
        <v>37</v>
      </c>
      <c r="D87" s="2">
        <v>29</v>
      </c>
      <c r="E87" s="5">
        <v>6</v>
      </c>
      <c r="F87" s="4">
        <f t="shared" si="0"/>
        <v>0.20689655172413793</v>
      </c>
      <c r="G87" s="66" t="s">
        <v>141</v>
      </c>
      <c r="H87" s="71">
        <v>12</v>
      </c>
      <c r="I87" s="73">
        <v>125</v>
      </c>
      <c r="J87" s="71">
        <v>1985</v>
      </c>
    </row>
    <row r="88" spans="1:18" ht="17" thickBot="1" x14ac:dyDescent="0.25">
      <c r="A88" s="1" t="s">
        <v>112</v>
      </c>
      <c r="B88" s="1" t="s">
        <v>93</v>
      </c>
      <c r="C88" s="3" t="s">
        <v>11</v>
      </c>
      <c r="D88" s="2">
        <v>22</v>
      </c>
      <c r="E88" s="5">
        <v>7</v>
      </c>
      <c r="F88" s="4">
        <f t="shared" si="0"/>
        <v>0.31818181818181818</v>
      </c>
      <c r="G88" s="66" t="s">
        <v>141</v>
      </c>
      <c r="H88" s="71">
        <v>12</v>
      </c>
      <c r="I88" s="73">
        <v>125</v>
      </c>
      <c r="J88" s="71">
        <v>1985</v>
      </c>
    </row>
    <row r="89" spans="1:18" s="16" customFormat="1" x14ac:dyDescent="0.2">
      <c r="A89" s="11" t="s">
        <v>113</v>
      </c>
      <c r="B89" s="11" t="s">
        <v>28</v>
      </c>
      <c r="C89" s="12" t="s">
        <v>43</v>
      </c>
      <c r="D89" s="14">
        <v>142</v>
      </c>
      <c r="E89" s="15">
        <v>67</v>
      </c>
      <c r="F89" s="13">
        <f t="shared" si="0"/>
        <v>0.47183098591549294</v>
      </c>
      <c r="G89" s="66" t="s">
        <v>139</v>
      </c>
      <c r="H89" s="71">
        <v>36</v>
      </c>
      <c r="I89" s="73">
        <v>1258</v>
      </c>
      <c r="J89" s="71">
        <v>1975</v>
      </c>
      <c r="K89" s="71"/>
      <c r="L89" s="71"/>
      <c r="M89" s="71"/>
      <c r="N89" s="71"/>
      <c r="O89" s="71"/>
      <c r="P89" s="71"/>
      <c r="Q89" s="71"/>
      <c r="R89" s="71"/>
    </row>
    <row r="90" spans="1:18" x14ac:dyDescent="0.2">
      <c r="A90" s="1" t="s">
        <v>113</v>
      </c>
      <c r="B90" s="1" t="s">
        <v>28</v>
      </c>
      <c r="C90" s="3" t="s">
        <v>51</v>
      </c>
      <c r="D90" s="2">
        <v>320</v>
      </c>
      <c r="E90" s="5">
        <v>124</v>
      </c>
      <c r="F90" s="4">
        <f t="shared" si="0"/>
        <v>0.38750000000000001</v>
      </c>
      <c r="G90" s="66" t="s">
        <v>139</v>
      </c>
      <c r="H90" s="71">
        <v>36</v>
      </c>
      <c r="I90" s="73">
        <v>1258</v>
      </c>
      <c r="J90" s="71">
        <v>1975</v>
      </c>
    </row>
    <row r="91" spans="1:18" x14ac:dyDescent="0.2">
      <c r="A91" s="1" t="s">
        <v>113</v>
      </c>
      <c r="B91" s="1" t="s">
        <v>28</v>
      </c>
      <c r="C91" s="3" t="s">
        <v>14</v>
      </c>
      <c r="D91" s="2">
        <v>123</v>
      </c>
      <c r="E91" s="5">
        <v>22</v>
      </c>
      <c r="F91" s="4">
        <f t="shared" si="0"/>
        <v>0.17886178861788618</v>
      </c>
      <c r="G91" s="66" t="s">
        <v>139</v>
      </c>
      <c r="H91" s="71">
        <v>36</v>
      </c>
      <c r="I91" s="73">
        <v>1258</v>
      </c>
      <c r="J91" s="71">
        <v>1975</v>
      </c>
    </row>
    <row r="92" spans="1:18" x14ac:dyDescent="0.2">
      <c r="A92" s="1" t="s">
        <v>113</v>
      </c>
      <c r="B92" s="1" t="s">
        <v>28</v>
      </c>
      <c r="C92" s="3" t="s">
        <v>32</v>
      </c>
      <c r="D92" s="2">
        <v>83</v>
      </c>
      <c r="E92" s="5">
        <v>9</v>
      </c>
      <c r="F92" s="4">
        <f t="shared" si="0"/>
        <v>0.10843373493975904</v>
      </c>
      <c r="G92" s="66" t="s">
        <v>139</v>
      </c>
      <c r="H92" s="71">
        <v>36</v>
      </c>
      <c r="I92" s="73">
        <v>1258</v>
      </c>
      <c r="J92" s="71">
        <v>1975</v>
      </c>
    </row>
    <row r="93" spans="1:18" x14ac:dyDescent="0.2">
      <c r="A93" s="1" t="s">
        <v>113</v>
      </c>
      <c r="B93" s="1" t="s">
        <v>28</v>
      </c>
      <c r="C93" s="3" t="s">
        <v>1</v>
      </c>
      <c r="D93" s="2">
        <v>76</v>
      </c>
      <c r="E93" s="5">
        <v>16</v>
      </c>
      <c r="F93" s="4">
        <f t="shared" si="0"/>
        <v>0.21052631578947367</v>
      </c>
      <c r="G93" s="66" t="s">
        <v>139</v>
      </c>
      <c r="H93" s="71">
        <v>36</v>
      </c>
      <c r="I93" s="73">
        <v>1258</v>
      </c>
      <c r="J93" s="71">
        <v>1975</v>
      </c>
    </row>
    <row r="94" spans="1:18" x14ac:dyDescent="0.2">
      <c r="A94" s="1" t="s">
        <v>113</v>
      </c>
      <c r="B94" s="1" t="s">
        <v>28</v>
      </c>
      <c r="C94" s="3" t="s">
        <v>8</v>
      </c>
      <c r="D94" s="2">
        <v>128</v>
      </c>
      <c r="E94" s="5">
        <v>17</v>
      </c>
      <c r="F94" s="4">
        <f t="shared" si="0"/>
        <v>0.1328125</v>
      </c>
      <c r="G94" s="66" t="s">
        <v>139</v>
      </c>
      <c r="H94" s="71">
        <v>36</v>
      </c>
      <c r="I94" s="73">
        <v>1258</v>
      </c>
      <c r="J94" s="71">
        <v>1975</v>
      </c>
    </row>
    <row r="95" spans="1:18" x14ac:dyDescent="0.2">
      <c r="A95" s="1" t="s">
        <v>113</v>
      </c>
      <c r="B95" s="1" t="s">
        <v>28</v>
      </c>
      <c r="C95" s="3" t="s">
        <v>13</v>
      </c>
      <c r="D95" s="2">
        <v>25</v>
      </c>
      <c r="E95" s="5">
        <v>4</v>
      </c>
      <c r="F95" s="4">
        <f t="shared" si="0"/>
        <v>0.16</v>
      </c>
      <c r="G95" s="66" t="s">
        <v>139</v>
      </c>
      <c r="H95" s="71">
        <v>36</v>
      </c>
      <c r="I95" s="73">
        <v>1258</v>
      </c>
      <c r="J95" s="71">
        <v>1975</v>
      </c>
    </row>
    <row r="96" spans="1:18" x14ac:dyDescent="0.2">
      <c r="A96" s="1" t="s">
        <v>113</v>
      </c>
      <c r="B96" s="1" t="s">
        <v>27</v>
      </c>
      <c r="C96" s="3" t="s">
        <v>43</v>
      </c>
      <c r="D96" s="2">
        <v>115</v>
      </c>
      <c r="E96" s="5">
        <v>47</v>
      </c>
      <c r="F96" s="4">
        <f t="shared" si="0"/>
        <v>0.40869565217391307</v>
      </c>
      <c r="G96" s="66" t="s">
        <v>139</v>
      </c>
      <c r="H96" s="71">
        <v>36</v>
      </c>
      <c r="I96" s="73">
        <v>1258</v>
      </c>
      <c r="J96" s="71">
        <v>1975</v>
      </c>
    </row>
    <row r="97" spans="1:10" x14ac:dyDescent="0.2">
      <c r="A97" s="1" t="s">
        <v>113</v>
      </c>
      <c r="B97" s="1" t="s">
        <v>27</v>
      </c>
      <c r="C97" s="3" t="s">
        <v>51</v>
      </c>
      <c r="D97" s="2">
        <v>136</v>
      </c>
      <c r="E97" s="5">
        <v>53</v>
      </c>
      <c r="F97" s="4">
        <f t="shared" si="0"/>
        <v>0.38970588235294118</v>
      </c>
      <c r="G97" s="66" t="s">
        <v>139</v>
      </c>
      <c r="H97" s="71">
        <v>36</v>
      </c>
      <c r="I97" s="73">
        <v>1258</v>
      </c>
      <c r="J97" s="71">
        <v>1975</v>
      </c>
    </row>
    <row r="98" spans="1:10" x14ac:dyDescent="0.2">
      <c r="A98" s="1" t="s">
        <v>113</v>
      </c>
      <c r="B98" s="1" t="s">
        <v>27</v>
      </c>
      <c r="C98" s="3" t="s">
        <v>14</v>
      </c>
      <c r="D98" s="2">
        <v>136</v>
      </c>
      <c r="E98" s="5">
        <v>17</v>
      </c>
      <c r="F98" s="4">
        <f t="shared" si="0"/>
        <v>0.125</v>
      </c>
      <c r="G98" s="66" t="s">
        <v>139</v>
      </c>
      <c r="H98" s="71">
        <v>36</v>
      </c>
      <c r="I98" s="73">
        <v>1258</v>
      </c>
      <c r="J98" s="71">
        <v>1975</v>
      </c>
    </row>
    <row r="99" spans="1:10" x14ac:dyDescent="0.2">
      <c r="A99" s="1" t="s">
        <v>113</v>
      </c>
      <c r="B99" s="1" t="s">
        <v>27</v>
      </c>
      <c r="C99" s="3" t="s">
        <v>32</v>
      </c>
      <c r="D99" s="2">
        <v>279</v>
      </c>
      <c r="E99" s="5">
        <v>46</v>
      </c>
      <c r="F99" s="4">
        <f t="shared" si="0"/>
        <v>0.16487455197132617</v>
      </c>
      <c r="G99" s="66" t="s">
        <v>139</v>
      </c>
      <c r="H99" s="71">
        <v>36</v>
      </c>
      <c r="I99" s="73">
        <v>1258</v>
      </c>
      <c r="J99" s="71">
        <v>1975</v>
      </c>
    </row>
    <row r="100" spans="1:10" x14ac:dyDescent="0.2">
      <c r="A100" s="1" t="s">
        <v>113</v>
      </c>
      <c r="B100" s="1" t="s">
        <v>27</v>
      </c>
      <c r="C100" s="3" t="s">
        <v>1</v>
      </c>
      <c r="D100" s="2">
        <v>170</v>
      </c>
      <c r="E100" s="5">
        <v>20</v>
      </c>
      <c r="F100" s="4">
        <f t="shared" si="0"/>
        <v>0.11764705882352941</v>
      </c>
      <c r="G100" s="66" t="s">
        <v>139</v>
      </c>
      <c r="H100" s="71">
        <v>36</v>
      </c>
      <c r="I100" s="73">
        <v>1258</v>
      </c>
      <c r="J100" s="71">
        <v>1975</v>
      </c>
    </row>
    <row r="101" spans="1:10" x14ac:dyDescent="0.2">
      <c r="A101" s="1" t="s">
        <v>113</v>
      </c>
      <c r="B101" s="1" t="s">
        <v>27</v>
      </c>
      <c r="C101" s="3" t="s">
        <v>8</v>
      </c>
      <c r="D101" s="2">
        <v>222</v>
      </c>
      <c r="E101" s="5">
        <v>20</v>
      </c>
      <c r="F101" s="4">
        <f t="shared" si="0"/>
        <v>9.0090090090090086E-2</v>
      </c>
      <c r="G101" s="66" t="s">
        <v>139</v>
      </c>
      <c r="H101" s="71">
        <v>36</v>
      </c>
      <c r="I101" s="73">
        <v>1258</v>
      </c>
      <c r="J101" s="71">
        <v>1975</v>
      </c>
    </row>
    <row r="102" spans="1:10" x14ac:dyDescent="0.2">
      <c r="A102" s="1" t="s">
        <v>113</v>
      </c>
      <c r="B102" s="1" t="s">
        <v>27</v>
      </c>
      <c r="C102" s="3" t="s">
        <v>13</v>
      </c>
      <c r="D102" s="2">
        <v>50</v>
      </c>
      <c r="E102" s="5">
        <v>4</v>
      </c>
      <c r="F102" s="4">
        <f t="shared" ref="F102:F115" si="2">E102/D102</f>
        <v>0.08</v>
      </c>
      <c r="G102" s="66" t="s">
        <v>139</v>
      </c>
      <c r="H102" s="71">
        <v>36</v>
      </c>
      <c r="I102" s="73">
        <v>1258</v>
      </c>
      <c r="J102" s="71">
        <v>1975</v>
      </c>
    </row>
    <row r="103" spans="1:10" x14ac:dyDescent="0.2">
      <c r="A103" s="1" t="s">
        <v>113</v>
      </c>
      <c r="B103" s="1" t="s">
        <v>27</v>
      </c>
      <c r="C103" s="3" t="s">
        <v>16</v>
      </c>
      <c r="D103" s="2">
        <v>55</v>
      </c>
      <c r="E103" s="5">
        <v>4</v>
      </c>
      <c r="F103" s="4">
        <f t="shared" si="2"/>
        <v>7.2727272727272724E-2</v>
      </c>
      <c r="G103" s="66" t="s">
        <v>139</v>
      </c>
      <c r="H103" s="71">
        <v>36</v>
      </c>
      <c r="I103" s="73">
        <v>1258</v>
      </c>
      <c r="J103" s="71">
        <v>1975</v>
      </c>
    </row>
    <row r="104" spans="1:10" x14ac:dyDescent="0.2">
      <c r="A104" s="1" t="s">
        <v>113</v>
      </c>
      <c r="B104" s="1" t="s">
        <v>68</v>
      </c>
      <c r="C104" s="3" t="s">
        <v>43</v>
      </c>
      <c r="D104" s="2">
        <v>44</v>
      </c>
      <c r="E104" s="5">
        <v>12</v>
      </c>
      <c r="F104" s="4">
        <f t="shared" si="2"/>
        <v>0.27272727272727271</v>
      </c>
      <c r="G104" s="66" t="s">
        <v>139</v>
      </c>
      <c r="H104" s="71">
        <v>36</v>
      </c>
      <c r="I104" s="73">
        <v>1258</v>
      </c>
      <c r="J104" s="71">
        <v>1975</v>
      </c>
    </row>
    <row r="105" spans="1:10" x14ac:dyDescent="0.2">
      <c r="A105" s="1" t="s">
        <v>113</v>
      </c>
      <c r="B105" s="1" t="s">
        <v>68</v>
      </c>
      <c r="C105" s="3" t="s">
        <v>51</v>
      </c>
      <c r="D105" s="2">
        <v>131</v>
      </c>
      <c r="E105" s="5">
        <v>29</v>
      </c>
      <c r="F105" s="4">
        <f t="shared" si="2"/>
        <v>0.22137404580152673</v>
      </c>
      <c r="G105" s="66" t="s">
        <v>139</v>
      </c>
      <c r="H105" s="71">
        <v>36</v>
      </c>
      <c r="I105" s="73">
        <v>1258</v>
      </c>
      <c r="J105" s="71">
        <v>1975</v>
      </c>
    </row>
    <row r="106" spans="1:10" x14ac:dyDescent="0.2">
      <c r="A106" s="1" t="s">
        <v>113</v>
      </c>
      <c r="B106" s="1" t="s">
        <v>68</v>
      </c>
      <c r="C106" s="3" t="s">
        <v>14</v>
      </c>
      <c r="D106" s="2">
        <v>124</v>
      </c>
      <c r="E106" s="5">
        <v>15</v>
      </c>
      <c r="F106" s="4">
        <f t="shared" si="2"/>
        <v>0.12096774193548387</v>
      </c>
      <c r="G106" s="66" t="s">
        <v>139</v>
      </c>
      <c r="H106" s="71">
        <v>36</v>
      </c>
      <c r="I106" s="73">
        <v>1258</v>
      </c>
      <c r="J106" s="71">
        <v>1975</v>
      </c>
    </row>
    <row r="107" spans="1:10" x14ac:dyDescent="0.2">
      <c r="A107" s="1" t="s">
        <v>113</v>
      </c>
      <c r="B107" s="1" t="s">
        <v>68</v>
      </c>
      <c r="C107" s="3" t="s">
        <v>32</v>
      </c>
      <c r="D107" s="2">
        <v>341</v>
      </c>
      <c r="E107" s="5">
        <v>33</v>
      </c>
      <c r="F107" s="4">
        <f t="shared" si="2"/>
        <v>9.6774193548387094E-2</v>
      </c>
      <c r="G107" s="66" t="s">
        <v>139</v>
      </c>
      <c r="H107" s="71">
        <v>36</v>
      </c>
      <c r="I107" s="73">
        <v>1258</v>
      </c>
      <c r="J107" s="71">
        <v>1975</v>
      </c>
    </row>
    <row r="108" spans="1:10" x14ac:dyDescent="0.2">
      <c r="A108" s="1" t="s">
        <v>113</v>
      </c>
      <c r="B108" s="1" t="s">
        <v>68</v>
      </c>
      <c r="C108" s="3" t="s">
        <v>1</v>
      </c>
      <c r="D108" s="2">
        <v>100</v>
      </c>
      <c r="E108" s="5">
        <v>4</v>
      </c>
      <c r="F108" s="4">
        <f t="shared" si="2"/>
        <v>0.04</v>
      </c>
      <c r="G108" s="66" t="s">
        <v>139</v>
      </c>
      <c r="H108" s="71">
        <v>36</v>
      </c>
      <c r="I108" s="73">
        <v>1258</v>
      </c>
      <c r="J108" s="71">
        <v>1975</v>
      </c>
    </row>
    <row r="109" spans="1:10" x14ac:dyDescent="0.2">
      <c r="A109" s="1" t="s">
        <v>113</v>
      </c>
      <c r="B109" s="1" t="s">
        <v>68</v>
      </c>
      <c r="C109" s="3" t="s">
        <v>8</v>
      </c>
      <c r="D109" s="2">
        <v>168</v>
      </c>
      <c r="E109" s="5">
        <v>18</v>
      </c>
      <c r="F109" s="4">
        <f t="shared" si="2"/>
        <v>0.10714285714285714</v>
      </c>
      <c r="G109" s="66" t="s">
        <v>139</v>
      </c>
      <c r="H109" s="71">
        <v>36</v>
      </c>
      <c r="I109" s="73">
        <v>1258</v>
      </c>
      <c r="J109" s="71">
        <v>1975</v>
      </c>
    </row>
    <row r="110" spans="1:10" x14ac:dyDescent="0.2">
      <c r="A110" s="1" t="s">
        <v>113</v>
      </c>
      <c r="B110" s="1" t="s">
        <v>68</v>
      </c>
      <c r="C110" s="3" t="s">
        <v>13</v>
      </c>
      <c r="D110" s="2">
        <v>53</v>
      </c>
      <c r="E110" s="5">
        <v>6</v>
      </c>
      <c r="F110" s="4">
        <f t="shared" si="2"/>
        <v>0.11320754716981132</v>
      </c>
      <c r="G110" s="66" t="s">
        <v>139</v>
      </c>
      <c r="H110" s="71">
        <v>36</v>
      </c>
      <c r="I110" s="73">
        <v>1258</v>
      </c>
      <c r="J110" s="71">
        <v>1975</v>
      </c>
    </row>
    <row r="111" spans="1:10" x14ac:dyDescent="0.2">
      <c r="A111" s="1" t="s">
        <v>113</v>
      </c>
      <c r="B111" s="1" t="s">
        <v>68</v>
      </c>
      <c r="C111" s="3" t="s">
        <v>16</v>
      </c>
      <c r="D111" s="2">
        <v>26</v>
      </c>
      <c r="E111" s="5">
        <v>0</v>
      </c>
      <c r="F111" s="4">
        <f t="shared" si="2"/>
        <v>0</v>
      </c>
      <c r="G111" s="66" t="s">
        <v>139</v>
      </c>
      <c r="H111" s="71">
        <v>36</v>
      </c>
      <c r="I111" s="73">
        <v>1258</v>
      </c>
      <c r="J111" s="71">
        <v>1975</v>
      </c>
    </row>
    <row r="112" spans="1:10" ht="17" thickBot="1" x14ac:dyDescent="0.25">
      <c r="A112" s="1" t="s">
        <v>113</v>
      </c>
      <c r="B112" s="1" t="s">
        <v>68</v>
      </c>
      <c r="C112" s="3" t="s">
        <v>37</v>
      </c>
      <c r="D112" s="2">
        <v>32</v>
      </c>
      <c r="E112" s="5">
        <v>4</v>
      </c>
      <c r="F112" s="4">
        <f t="shared" si="2"/>
        <v>0.125</v>
      </c>
      <c r="G112" s="66" t="s">
        <v>139</v>
      </c>
      <c r="H112" s="71">
        <v>36</v>
      </c>
      <c r="I112" s="73">
        <v>1258</v>
      </c>
      <c r="J112" s="71">
        <v>1975</v>
      </c>
    </row>
    <row r="113" spans="1:18" s="16" customFormat="1" x14ac:dyDescent="0.2">
      <c r="A113" s="11" t="s">
        <v>122</v>
      </c>
      <c r="B113" s="11" t="s">
        <v>92</v>
      </c>
      <c r="C113" s="12" t="s">
        <v>123</v>
      </c>
      <c r="D113" s="14">
        <v>307</v>
      </c>
      <c r="E113" s="15">
        <v>108</v>
      </c>
      <c r="F113" s="13">
        <f t="shared" si="2"/>
        <v>0.3517915309446254</v>
      </c>
      <c r="G113" s="66" t="s">
        <v>141</v>
      </c>
      <c r="H113" s="71">
        <v>9</v>
      </c>
      <c r="I113" s="73">
        <v>21</v>
      </c>
      <c r="J113" s="71">
        <v>1982</v>
      </c>
      <c r="K113" s="71"/>
      <c r="L113" s="71"/>
      <c r="M113" s="71"/>
      <c r="N113" s="71"/>
      <c r="O113" s="71"/>
      <c r="P113" s="71"/>
      <c r="Q113" s="71"/>
      <c r="R113" s="71"/>
    </row>
    <row r="114" spans="1:18" x14ac:dyDescent="0.2">
      <c r="A114" s="1" t="s">
        <v>122</v>
      </c>
      <c r="B114" s="1" t="s">
        <v>92</v>
      </c>
      <c r="C114" s="3" t="s">
        <v>51</v>
      </c>
      <c r="D114" s="2">
        <v>250</v>
      </c>
      <c r="E114" s="5">
        <v>89</v>
      </c>
      <c r="F114" s="4">
        <f t="shared" si="2"/>
        <v>0.35599999999999998</v>
      </c>
      <c r="G114" s="66" t="s">
        <v>141</v>
      </c>
      <c r="H114" s="71">
        <v>9</v>
      </c>
      <c r="I114" s="73">
        <v>21</v>
      </c>
      <c r="J114" s="71">
        <v>1982</v>
      </c>
    </row>
    <row r="115" spans="1:18" x14ac:dyDescent="0.2">
      <c r="A115" s="1" t="s">
        <v>122</v>
      </c>
      <c r="B115" s="1" t="s">
        <v>92</v>
      </c>
      <c r="C115" s="3" t="s">
        <v>11</v>
      </c>
      <c r="D115" s="2">
        <v>90</v>
      </c>
      <c r="E115" s="5">
        <v>32</v>
      </c>
      <c r="F115" s="4">
        <f t="shared" si="2"/>
        <v>0.35555555555555557</v>
      </c>
      <c r="G115" s="66" t="s">
        <v>141</v>
      </c>
      <c r="H115" s="71">
        <v>9</v>
      </c>
      <c r="I115" s="73">
        <v>21</v>
      </c>
      <c r="J115" s="71">
        <v>1982</v>
      </c>
    </row>
    <row r="116" spans="1:18" x14ac:dyDescent="0.2">
      <c r="A116" s="1" t="s">
        <v>122</v>
      </c>
      <c r="B116" s="1" t="s">
        <v>92</v>
      </c>
      <c r="C116" s="3" t="s">
        <v>120</v>
      </c>
      <c r="D116" s="2">
        <v>295</v>
      </c>
      <c r="E116" s="5">
        <v>72</v>
      </c>
      <c r="F116" s="4">
        <f t="shared" ref="F116:F187" si="3">E116/D116</f>
        <v>0.2440677966101695</v>
      </c>
      <c r="G116" s="66" t="s">
        <v>141</v>
      </c>
      <c r="H116" s="71">
        <v>9</v>
      </c>
      <c r="I116" s="73">
        <v>21</v>
      </c>
      <c r="J116" s="71">
        <v>1982</v>
      </c>
    </row>
    <row r="117" spans="1:18" x14ac:dyDescent="0.2">
      <c r="A117" s="1" t="s">
        <v>122</v>
      </c>
      <c r="B117" s="1" t="s">
        <v>92</v>
      </c>
      <c r="C117" s="3" t="s">
        <v>56</v>
      </c>
      <c r="D117" s="2">
        <v>32</v>
      </c>
      <c r="E117" s="5">
        <v>5</v>
      </c>
      <c r="F117" s="4">
        <f t="shared" si="3"/>
        <v>0.15625</v>
      </c>
      <c r="G117" s="66" t="s">
        <v>141</v>
      </c>
      <c r="H117" s="71">
        <v>9</v>
      </c>
      <c r="I117" s="73">
        <v>21</v>
      </c>
      <c r="J117" s="71">
        <v>1982</v>
      </c>
    </row>
    <row r="118" spans="1:18" x14ac:dyDescent="0.2">
      <c r="A118" s="1" t="s">
        <v>122</v>
      </c>
      <c r="B118" s="1" t="s">
        <v>92</v>
      </c>
      <c r="C118" s="3" t="s">
        <v>9</v>
      </c>
      <c r="D118" s="2">
        <v>101</v>
      </c>
      <c r="E118" s="5">
        <v>12</v>
      </c>
      <c r="F118" s="4">
        <f t="shared" si="3"/>
        <v>0.11881188118811881</v>
      </c>
      <c r="G118" s="66" t="s">
        <v>141</v>
      </c>
      <c r="H118" s="71">
        <v>9</v>
      </c>
      <c r="I118" s="73">
        <v>21</v>
      </c>
      <c r="J118" s="71">
        <v>1982</v>
      </c>
    </row>
    <row r="119" spans="1:18" x14ac:dyDescent="0.2">
      <c r="A119" s="1" t="s">
        <v>122</v>
      </c>
      <c r="B119" s="1" t="s">
        <v>92</v>
      </c>
      <c r="C119" s="3" t="s">
        <v>30</v>
      </c>
      <c r="D119" s="2">
        <v>19</v>
      </c>
      <c r="E119" s="5">
        <v>2</v>
      </c>
      <c r="F119" s="4">
        <f t="shared" si="3"/>
        <v>0.10526315789473684</v>
      </c>
      <c r="G119" s="66" t="s">
        <v>141</v>
      </c>
      <c r="H119" s="71">
        <v>9</v>
      </c>
      <c r="I119" s="73">
        <v>21</v>
      </c>
      <c r="J119" s="71">
        <v>1982</v>
      </c>
    </row>
    <row r="120" spans="1:18" x14ac:dyDescent="0.2">
      <c r="A120" s="1" t="s">
        <v>122</v>
      </c>
      <c r="B120" s="1" t="s">
        <v>92</v>
      </c>
      <c r="C120" s="3" t="s">
        <v>32</v>
      </c>
      <c r="D120" s="2">
        <v>168</v>
      </c>
      <c r="E120" s="5">
        <v>15</v>
      </c>
      <c r="F120" s="4">
        <f t="shared" si="3"/>
        <v>8.9285714285714288E-2</v>
      </c>
      <c r="G120" s="66" t="s">
        <v>141</v>
      </c>
      <c r="H120" s="71">
        <v>9</v>
      </c>
      <c r="I120" s="73">
        <v>21</v>
      </c>
      <c r="J120" s="71">
        <v>1982</v>
      </c>
    </row>
    <row r="121" spans="1:18" x14ac:dyDescent="0.2">
      <c r="A121" s="1" t="s">
        <v>122</v>
      </c>
      <c r="B121" s="1" t="s">
        <v>92</v>
      </c>
      <c r="C121" s="3" t="s">
        <v>1</v>
      </c>
      <c r="D121" s="2">
        <v>200</v>
      </c>
      <c r="E121" s="5">
        <v>16</v>
      </c>
      <c r="F121" s="4">
        <f t="shared" si="3"/>
        <v>0.08</v>
      </c>
      <c r="G121" s="66" t="s">
        <v>141</v>
      </c>
      <c r="H121" s="71">
        <v>9</v>
      </c>
      <c r="I121" s="73">
        <v>21</v>
      </c>
      <c r="J121" s="71">
        <v>1982</v>
      </c>
    </row>
    <row r="122" spans="1:18" x14ac:dyDescent="0.2">
      <c r="A122" s="1" t="s">
        <v>122</v>
      </c>
      <c r="B122" s="1" t="s">
        <v>92</v>
      </c>
      <c r="C122" s="3" t="s">
        <v>10</v>
      </c>
      <c r="D122" s="2">
        <v>36</v>
      </c>
      <c r="E122" s="5">
        <v>3</v>
      </c>
      <c r="F122" s="4">
        <f t="shared" si="3"/>
        <v>8.3333333333333329E-2</v>
      </c>
      <c r="G122" s="66" t="s">
        <v>141</v>
      </c>
      <c r="H122" s="71">
        <v>9</v>
      </c>
      <c r="I122" s="73">
        <v>21</v>
      </c>
      <c r="J122" s="71">
        <v>1982</v>
      </c>
    </row>
    <row r="123" spans="1:18" x14ac:dyDescent="0.2">
      <c r="A123" s="1" t="s">
        <v>122</v>
      </c>
      <c r="B123" s="1" t="s">
        <v>92</v>
      </c>
      <c r="C123" s="3" t="s">
        <v>8</v>
      </c>
      <c r="D123" s="2">
        <v>244</v>
      </c>
      <c r="E123" s="5">
        <v>6</v>
      </c>
      <c r="F123" s="4">
        <f t="shared" si="3"/>
        <v>2.4590163934426229E-2</v>
      </c>
      <c r="G123" s="66" t="s">
        <v>141</v>
      </c>
      <c r="H123" s="71">
        <v>9</v>
      </c>
      <c r="I123" s="73">
        <v>21</v>
      </c>
      <c r="J123" s="71">
        <v>1982</v>
      </c>
    </row>
    <row r="124" spans="1:18" x14ac:dyDescent="0.2">
      <c r="A124" s="1" t="s">
        <v>122</v>
      </c>
      <c r="B124" s="1" t="s">
        <v>92</v>
      </c>
      <c r="C124" s="3" t="s">
        <v>16</v>
      </c>
      <c r="D124" s="2">
        <v>105</v>
      </c>
      <c r="E124" s="5">
        <v>3</v>
      </c>
      <c r="F124" s="4">
        <f t="shared" si="3"/>
        <v>2.8571428571428571E-2</v>
      </c>
      <c r="G124" s="66" t="s">
        <v>141</v>
      </c>
      <c r="H124" s="71">
        <v>9</v>
      </c>
      <c r="I124" s="73">
        <v>21</v>
      </c>
      <c r="J124" s="71">
        <v>1982</v>
      </c>
    </row>
    <row r="125" spans="1:18" x14ac:dyDescent="0.2">
      <c r="A125" s="1" t="s">
        <v>122</v>
      </c>
      <c r="B125" s="1" t="s">
        <v>92</v>
      </c>
      <c r="C125" s="3" t="s">
        <v>12</v>
      </c>
      <c r="D125" s="2">
        <v>33</v>
      </c>
      <c r="E125" s="5">
        <v>1</v>
      </c>
      <c r="F125" s="4">
        <f t="shared" si="3"/>
        <v>3.0303030303030304E-2</v>
      </c>
      <c r="G125" s="66" t="s">
        <v>141</v>
      </c>
      <c r="H125" s="71">
        <v>9</v>
      </c>
      <c r="I125" s="73">
        <v>21</v>
      </c>
      <c r="J125" s="71">
        <v>1982</v>
      </c>
    </row>
    <row r="126" spans="1:18" x14ac:dyDescent="0.2">
      <c r="A126" s="1" t="s">
        <v>122</v>
      </c>
      <c r="B126" s="1" t="s">
        <v>92</v>
      </c>
      <c r="C126" s="3" t="s">
        <v>14</v>
      </c>
      <c r="D126" s="2">
        <v>76</v>
      </c>
      <c r="E126" s="5">
        <v>1</v>
      </c>
      <c r="F126" s="4">
        <f t="shared" si="3"/>
        <v>1.3157894736842105E-2</v>
      </c>
      <c r="G126" s="66" t="s">
        <v>141</v>
      </c>
      <c r="H126" s="71">
        <v>9</v>
      </c>
      <c r="I126" s="73">
        <v>21</v>
      </c>
      <c r="J126" s="71">
        <v>1982</v>
      </c>
    </row>
    <row r="127" spans="1:18" x14ac:dyDescent="0.2">
      <c r="A127" s="1" t="s">
        <v>122</v>
      </c>
      <c r="B127" s="1" t="s">
        <v>92</v>
      </c>
      <c r="C127" s="3" t="s">
        <v>13</v>
      </c>
      <c r="D127" s="2">
        <v>59</v>
      </c>
      <c r="E127" s="5">
        <v>1</v>
      </c>
      <c r="F127" s="4">
        <f t="shared" si="3"/>
        <v>1.6949152542372881E-2</v>
      </c>
      <c r="G127" s="66" t="s">
        <v>141</v>
      </c>
      <c r="H127" s="71">
        <v>9</v>
      </c>
      <c r="I127" s="73">
        <v>21</v>
      </c>
      <c r="J127" s="71">
        <v>1982</v>
      </c>
    </row>
    <row r="128" spans="1:18" ht="17" thickBot="1" x14ac:dyDescent="0.25">
      <c r="A128" s="1" t="s">
        <v>122</v>
      </c>
      <c r="B128" s="1" t="s">
        <v>92</v>
      </c>
      <c r="C128" s="3" t="s">
        <v>37</v>
      </c>
      <c r="D128" s="2">
        <v>30</v>
      </c>
      <c r="E128" s="5">
        <v>0</v>
      </c>
      <c r="F128" s="4">
        <f t="shared" si="3"/>
        <v>0</v>
      </c>
      <c r="G128" s="66" t="s">
        <v>141</v>
      </c>
      <c r="H128" s="71">
        <v>9</v>
      </c>
      <c r="I128" s="73">
        <v>21</v>
      </c>
      <c r="J128" s="71">
        <v>1982</v>
      </c>
    </row>
    <row r="129" spans="1:18" s="16" customFormat="1" x14ac:dyDescent="0.2">
      <c r="A129" s="11" t="s">
        <v>124</v>
      </c>
      <c r="B129" s="11" t="s">
        <v>92</v>
      </c>
      <c r="C129" s="12" t="s">
        <v>32</v>
      </c>
      <c r="D129" s="14">
        <v>168</v>
      </c>
      <c r="E129" s="15">
        <v>15</v>
      </c>
      <c r="F129" s="13">
        <f t="shared" si="3"/>
        <v>8.9285714285714288E-2</v>
      </c>
      <c r="G129" s="66" t="s">
        <v>163</v>
      </c>
      <c r="H129" s="71">
        <v>4</v>
      </c>
      <c r="I129" s="73">
        <v>61</v>
      </c>
      <c r="J129" s="71">
        <v>1984</v>
      </c>
      <c r="K129" s="71"/>
      <c r="L129" s="71"/>
      <c r="M129" s="71"/>
      <c r="N129" s="71"/>
      <c r="O129" s="71"/>
      <c r="P129" s="71"/>
      <c r="Q129" s="71"/>
      <c r="R129" s="71"/>
    </row>
    <row r="130" spans="1:18" x14ac:dyDescent="0.2">
      <c r="A130" s="1" t="s">
        <v>124</v>
      </c>
      <c r="B130" s="1" t="s">
        <v>92</v>
      </c>
      <c r="C130" s="3" t="s">
        <v>51</v>
      </c>
      <c r="D130" s="2">
        <v>213</v>
      </c>
      <c r="E130" s="5">
        <v>56</v>
      </c>
      <c r="F130" s="4">
        <f t="shared" si="3"/>
        <v>0.26291079812206575</v>
      </c>
      <c r="G130" s="66" t="s">
        <v>163</v>
      </c>
      <c r="H130" s="71">
        <v>4</v>
      </c>
      <c r="I130" s="73">
        <v>61</v>
      </c>
      <c r="J130" s="71">
        <v>1984</v>
      </c>
    </row>
    <row r="131" spans="1:18" x14ac:dyDescent="0.2">
      <c r="A131" s="1" t="s">
        <v>124</v>
      </c>
      <c r="B131" s="1" t="s">
        <v>92</v>
      </c>
      <c r="C131" s="3" t="s">
        <v>120</v>
      </c>
      <c r="D131" s="2">
        <v>355</v>
      </c>
      <c r="E131" s="5">
        <v>80</v>
      </c>
      <c r="F131" s="4">
        <f t="shared" si="3"/>
        <v>0.22535211267605634</v>
      </c>
      <c r="G131" s="66" t="s">
        <v>163</v>
      </c>
      <c r="H131" s="71">
        <v>4</v>
      </c>
      <c r="I131" s="73">
        <v>61</v>
      </c>
      <c r="J131" s="71">
        <v>1984</v>
      </c>
    </row>
    <row r="132" spans="1:18" x14ac:dyDescent="0.2">
      <c r="A132" s="1" t="s">
        <v>124</v>
      </c>
      <c r="B132" s="1" t="s">
        <v>92</v>
      </c>
      <c r="C132" s="3" t="s">
        <v>11</v>
      </c>
      <c r="D132" s="2">
        <v>90</v>
      </c>
      <c r="E132" s="5">
        <v>32</v>
      </c>
      <c r="F132" s="4">
        <f t="shared" si="3"/>
        <v>0.35555555555555557</v>
      </c>
      <c r="G132" s="66" t="s">
        <v>163</v>
      </c>
      <c r="H132" s="71">
        <v>4</v>
      </c>
      <c r="I132" s="73">
        <v>61</v>
      </c>
      <c r="J132" s="71">
        <v>1984</v>
      </c>
    </row>
    <row r="133" spans="1:18" x14ac:dyDescent="0.2">
      <c r="A133" s="1" t="s">
        <v>124</v>
      </c>
      <c r="B133" s="1" t="s">
        <v>92</v>
      </c>
      <c r="C133" s="3" t="s">
        <v>1</v>
      </c>
      <c r="D133" s="2">
        <v>294</v>
      </c>
      <c r="E133" s="5">
        <v>23</v>
      </c>
      <c r="F133" s="4">
        <f t="shared" si="3"/>
        <v>7.8231292517006806E-2</v>
      </c>
      <c r="G133" s="66" t="s">
        <v>163</v>
      </c>
      <c r="H133" s="71">
        <v>4</v>
      </c>
      <c r="I133" s="73">
        <v>61</v>
      </c>
      <c r="J133" s="71">
        <v>1984</v>
      </c>
    </row>
    <row r="134" spans="1:18" ht="17" thickBot="1" x14ac:dyDescent="0.25">
      <c r="A134" s="1" t="s">
        <v>124</v>
      </c>
      <c r="B134" s="1" t="s">
        <v>92</v>
      </c>
      <c r="C134" s="3" t="s">
        <v>9</v>
      </c>
      <c r="D134" s="2">
        <v>101</v>
      </c>
      <c r="E134" s="5">
        <v>12</v>
      </c>
      <c r="F134" s="4">
        <f t="shared" si="3"/>
        <v>0.11881188118811881</v>
      </c>
      <c r="G134" s="66" t="s">
        <v>163</v>
      </c>
      <c r="H134" s="71">
        <v>4</v>
      </c>
      <c r="I134" s="73">
        <v>61</v>
      </c>
      <c r="J134" s="71">
        <v>1984</v>
      </c>
    </row>
    <row r="135" spans="1:18" s="16" customFormat="1" x14ac:dyDescent="0.2">
      <c r="A135" s="11" t="s">
        <v>125</v>
      </c>
      <c r="B135" s="11" t="s">
        <v>126</v>
      </c>
      <c r="C135" s="12" t="s">
        <v>32</v>
      </c>
      <c r="D135" s="14">
        <v>627</v>
      </c>
      <c r="E135" s="15">
        <v>127</v>
      </c>
      <c r="F135" s="13">
        <f t="shared" si="3"/>
        <v>0.20255183413078151</v>
      </c>
      <c r="G135" s="66" t="s">
        <v>141</v>
      </c>
      <c r="H135" s="71">
        <v>22</v>
      </c>
      <c r="I135" s="73">
        <v>15</v>
      </c>
      <c r="J135" s="71">
        <v>1996</v>
      </c>
      <c r="K135" s="71"/>
      <c r="L135" s="71"/>
      <c r="M135" s="71"/>
      <c r="N135" s="71"/>
      <c r="O135" s="71"/>
      <c r="P135" s="71"/>
      <c r="Q135" s="71"/>
      <c r="R135" s="71"/>
    </row>
    <row r="136" spans="1:18" x14ac:dyDescent="0.2">
      <c r="A136" s="1" t="s">
        <v>125</v>
      </c>
      <c r="B136" s="1" t="s">
        <v>126</v>
      </c>
      <c r="C136" s="3" t="s">
        <v>123</v>
      </c>
      <c r="D136" s="2">
        <v>26</v>
      </c>
      <c r="E136" s="5">
        <v>7</v>
      </c>
      <c r="F136" s="4">
        <f t="shared" si="3"/>
        <v>0.26923076923076922</v>
      </c>
      <c r="G136" s="66" t="s">
        <v>141</v>
      </c>
      <c r="H136" s="71">
        <v>22</v>
      </c>
      <c r="I136" s="73">
        <v>15</v>
      </c>
      <c r="J136" s="71">
        <v>1996</v>
      </c>
    </row>
    <row r="137" spans="1:18" x14ac:dyDescent="0.2">
      <c r="A137" s="1" t="s">
        <v>125</v>
      </c>
      <c r="B137" s="1" t="s">
        <v>126</v>
      </c>
      <c r="C137" s="3" t="s">
        <v>30</v>
      </c>
      <c r="D137" s="2">
        <v>41</v>
      </c>
      <c r="E137" s="5">
        <v>1</v>
      </c>
      <c r="F137" s="4">
        <f t="shared" si="3"/>
        <v>2.4390243902439025E-2</v>
      </c>
      <c r="G137" s="66" t="s">
        <v>141</v>
      </c>
      <c r="H137" s="71">
        <v>22</v>
      </c>
      <c r="I137" s="73">
        <v>15</v>
      </c>
      <c r="J137" s="71">
        <v>1996</v>
      </c>
    </row>
    <row r="138" spans="1:18" x14ac:dyDescent="0.2">
      <c r="A138" s="1" t="s">
        <v>125</v>
      </c>
      <c r="B138" s="1" t="s">
        <v>126</v>
      </c>
      <c r="C138" s="3" t="s">
        <v>14</v>
      </c>
      <c r="D138" s="2">
        <v>33</v>
      </c>
      <c r="E138" s="5">
        <v>1</v>
      </c>
      <c r="F138" s="4">
        <f t="shared" si="3"/>
        <v>3.0303030303030304E-2</v>
      </c>
      <c r="G138" s="66" t="s">
        <v>141</v>
      </c>
      <c r="H138" s="71">
        <v>22</v>
      </c>
      <c r="I138" s="73">
        <v>15</v>
      </c>
      <c r="J138" s="71">
        <v>1996</v>
      </c>
    </row>
    <row r="139" spans="1:18" x14ac:dyDescent="0.2">
      <c r="A139" s="1" t="s">
        <v>125</v>
      </c>
      <c r="B139" s="1" t="s">
        <v>126</v>
      </c>
      <c r="C139" s="3" t="s">
        <v>8</v>
      </c>
      <c r="D139" s="2">
        <v>14</v>
      </c>
      <c r="E139" s="5">
        <v>0</v>
      </c>
      <c r="F139" s="4">
        <f t="shared" si="3"/>
        <v>0</v>
      </c>
      <c r="G139" s="66" t="s">
        <v>141</v>
      </c>
      <c r="H139" s="71">
        <v>22</v>
      </c>
      <c r="I139" s="73">
        <v>15</v>
      </c>
      <c r="J139" s="71">
        <v>1996</v>
      </c>
    </row>
    <row r="140" spans="1:18" x14ac:dyDescent="0.2">
      <c r="A140" s="1" t="s">
        <v>125</v>
      </c>
      <c r="B140" s="1" t="s">
        <v>126</v>
      </c>
      <c r="C140" s="3" t="s">
        <v>16</v>
      </c>
      <c r="D140" s="2">
        <v>18</v>
      </c>
      <c r="E140" s="5">
        <v>1</v>
      </c>
      <c r="F140" s="4">
        <f t="shared" si="3"/>
        <v>5.5555555555555552E-2</v>
      </c>
      <c r="G140" s="66" t="s">
        <v>141</v>
      </c>
      <c r="H140" s="71">
        <v>22</v>
      </c>
      <c r="I140" s="73">
        <v>15</v>
      </c>
      <c r="J140" s="71">
        <v>1996</v>
      </c>
    </row>
    <row r="141" spans="1:18" ht="17" thickBot="1" x14ac:dyDescent="0.25">
      <c r="A141" s="1" t="s">
        <v>125</v>
      </c>
      <c r="B141" s="1" t="s">
        <v>126</v>
      </c>
      <c r="C141" s="3" t="s">
        <v>9</v>
      </c>
      <c r="D141" s="2">
        <v>42</v>
      </c>
      <c r="E141" s="5">
        <v>8</v>
      </c>
      <c r="F141" s="4">
        <f t="shared" si="3"/>
        <v>0.19047619047619047</v>
      </c>
      <c r="G141" s="66" t="s">
        <v>141</v>
      </c>
      <c r="H141" s="71">
        <v>22</v>
      </c>
      <c r="I141" s="73">
        <v>15</v>
      </c>
      <c r="J141" s="71">
        <v>1996</v>
      </c>
    </row>
    <row r="142" spans="1:18" s="16" customFormat="1" x14ac:dyDescent="0.2">
      <c r="A142" s="11" t="s">
        <v>127</v>
      </c>
      <c r="B142" s="11" t="s">
        <v>126</v>
      </c>
      <c r="C142" s="12" t="s">
        <v>29</v>
      </c>
      <c r="D142" s="14">
        <v>76</v>
      </c>
      <c r="E142" s="15">
        <v>7</v>
      </c>
      <c r="F142" s="13">
        <f t="shared" si="3"/>
        <v>9.2105263157894732E-2</v>
      </c>
      <c r="G142" s="66" t="s">
        <v>164</v>
      </c>
      <c r="H142" s="71">
        <v>54</v>
      </c>
      <c r="I142" s="73">
        <v>162</v>
      </c>
      <c r="J142" s="71">
        <v>1997</v>
      </c>
      <c r="K142" s="71"/>
      <c r="L142" s="71"/>
      <c r="M142" s="71"/>
      <c r="N142" s="71"/>
      <c r="O142" s="71"/>
      <c r="P142" s="71"/>
      <c r="Q142" s="71"/>
      <c r="R142" s="71"/>
    </row>
    <row r="143" spans="1:18" x14ac:dyDescent="0.2">
      <c r="A143" s="1" t="s">
        <v>127</v>
      </c>
      <c r="B143" s="1" t="s">
        <v>126</v>
      </c>
      <c r="C143" s="3" t="s">
        <v>9</v>
      </c>
      <c r="D143" s="2">
        <v>103</v>
      </c>
      <c r="E143" s="5">
        <v>21</v>
      </c>
      <c r="F143" s="4">
        <f t="shared" si="3"/>
        <v>0.20388349514563106</v>
      </c>
      <c r="G143" s="66" t="s">
        <v>164</v>
      </c>
      <c r="H143" s="71">
        <v>54</v>
      </c>
      <c r="I143" s="73">
        <v>162</v>
      </c>
      <c r="J143" s="71">
        <v>1997</v>
      </c>
    </row>
    <row r="144" spans="1:18" ht="17" thickBot="1" x14ac:dyDescent="0.25">
      <c r="A144" s="1" t="s">
        <v>127</v>
      </c>
      <c r="B144" s="1" t="s">
        <v>126</v>
      </c>
      <c r="C144" s="3" t="s">
        <v>1</v>
      </c>
      <c r="D144" s="2">
        <v>99</v>
      </c>
      <c r="E144" s="5">
        <v>28</v>
      </c>
      <c r="F144" s="4">
        <f t="shared" si="3"/>
        <v>0.28282828282828282</v>
      </c>
      <c r="G144" s="66" t="s">
        <v>164</v>
      </c>
      <c r="H144" s="71">
        <v>54</v>
      </c>
      <c r="I144" s="73">
        <v>162</v>
      </c>
      <c r="J144" s="71">
        <v>1997</v>
      </c>
    </row>
    <row r="145" spans="1:18" s="16" customFormat="1" x14ac:dyDescent="0.2">
      <c r="A145" s="11" t="s">
        <v>128</v>
      </c>
      <c r="B145" s="11" t="s">
        <v>126</v>
      </c>
      <c r="C145" s="12" t="s">
        <v>12</v>
      </c>
      <c r="D145" s="14">
        <v>99</v>
      </c>
      <c r="E145" s="15">
        <v>30</v>
      </c>
      <c r="F145" s="13">
        <f t="shared" si="3"/>
        <v>0.30303030303030304</v>
      </c>
      <c r="G145" s="66" t="s">
        <v>162</v>
      </c>
      <c r="H145" s="71">
        <v>2</v>
      </c>
      <c r="I145" s="73">
        <v>127</v>
      </c>
      <c r="J145" s="71">
        <v>1997</v>
      </c>
      <c r="K145" s="71"/>
      <c r="L145" s="71"/>
      <c r="M145" s="71"/>
      <c r="N145" s="71"/>
      <c r="O145" s="71"/>
      <c r="P145" s="71"/>
      <c r="Q145" s="71"/>
      <c r="R145" s="71"/>
    </row>
    <row r="146" spans="1:18" x14ac:dyDescent="0.2">
      <c r="A146" s="1" t="s">
        <v>128</v>
      </c>
      <c r="B146" s="1" t="s">
        <v>126</v>
      </c>
      <c r="C146" s="3" t="s">
        <v>1</v>
      </c>
      <c r="D146" s="2">
        <v>93</v>
      </c>
      <c r="E146" s="5">
        <v>30</v>
      </c>
      <c r="F146" s="4">
        <f t="shared" si="3"/>
        <v>0.32258064516129031</v>
      </c>
      <c r="G146" s="66" t="s">
        <v>162</v>
      </c>
      <c r="H146" s="71">
        <v>2</v>
      </c>
      <c r="I146" s="73">
        <v>127</v>
      </c>
      <c r="J146" s="71">
        <v>1997</v>
      </c>
    </row>
    <row r="147" spans="1:18" x14ac:dyDescent="0.2">
      <c r="A147" s="1" t="s">
        <v>128</v>
      </c>
      <c r="B147" s="1" t="s">
        <v>126</v>
      </c>
      <c r="C147" s="3" t="s">
        <v>123</v>
      </c>
      <c r="D147" s="2">
        <v>29</v>
      </c>
      <c r="E147" s="5">
        <v>8</v>
      </c>
      <c r="F147" s="4">
        <f t="shared" si="3"/>
        <v>0.27586206896551724</v>
      </c>
      <c r="G147" s="66" t="s">
        <v>162</v>
      </c>
      <c r="H147" s="71">
        <v>2</v>
      </c>
      <c r="I147" s="73">
        <v>127</v>
      </c>
      <c r="J147" s="71">
        <v>1997</v>
      </c>
    </row>
    <row r="148" spans="1:18" x14ac:dyDescent="0.2">
      <c r="A148" s="1" t="s">
        <v>128</v>
      </c>
      <c r="B148" s="1" t="s">
        <v>126</v>
      </c>
      <c r="C148" s="3" t="s">
        <v>32</v>
      </c>
      <c r="D148" s="2">
        <v>338</v>
      </c>
      <c r="E148" s="5">
        <v>75</v>
      </c>
      <c r="F148" s="4">
        <f t="shared" si="3"/>
        <v>0.22189349112426035</v>
      </c>
      <c r="G148" s="66" t="s">
        <v>162</v>
      </c>
      <c r="H148" s="71">
        <v>2</v>
      </c>
      <c r="I148" s="73">
        <v>127</v>
      </c>
      <c r="J148" s="71">
        <v>1997</v>
      </c>
    </row>
    <row r="149" spans="1:18" x14ac:dyDescent="0.2">
      <c r="A149" s="1" t="s">
        <v>128</v>
      </c>
      <c r="B149" s="1" t="s">
        <v>126</v>
      </c>
      <c r="C149" s="3" t="s">
        <v>37</v>
      </c>
      <c r="D149" s="2">
        <v>28</v>
      </c>
      <c r="E149" s="5">
        <v>5</v>
      </c>
      <c r="F149" s="4">
        <f t="shared" si="3"/>
        <v>0.17857142857142858</v>
      </c>
      <c r="G149" s="66" t="s">
        <v>162</v>
      </c>
      <c r="H149" s="71">
        <v>2</v>
      </c>
      <c r="I149" s="73">
        <v>127</v>
      </c>
      <c r="J149" s="71">
        <v>1997</v>
      </c>
    </row>
    <row r="150" spans="1:18" x14ac:dyDescent="0.2">
      <c r="A150" s="1" t="s">
        <v>128</v>
      </c>
      <c r="B150" s="1" t="s">
        <v>126</v>
      </c>
      <c r="C150" s="3" t="s">
        <v>9</v>
      </c>
      <c r="D150" s="2">
        <v>111</v>
      </c>
      <c r="E150" s="5">
        <v>24</v>
      </c>
      <c r="F150" s="4">
        <f t="shared" si="3"/>
        <v>0.21621621621621623</v>
      </c>
      <c r="G150" s="66" t="s">
        <v>162</v>
      </c>
      <c r="H150" s="71">
        <v>2</v>
      </c>
      <c r="I150" s="73">
        <v>127</v>
      </c>
      <c r="J150" s="71">
        <v>1997</v>
      </c>
    </row>
    <row r="151" spans="1:18" x14ac:dyDescent="0.2">
      <c r="A151" s="1" t="s">
        <v>128</v>
      </c>
      <c r="B151" s="1" t="s">
        <v>126</v>
      </c>
      <c r="C151" s="3" t="s">
        <v>13</v>
      </c>
      <c r="D151" s="2">
        <v>61</v>
      </c>
      <c r="E151" s="5">
        <v>8</v>
      </c>
      <c r="F151" s="4">
        <f t="shared" si="3"/>
        <v>0.13114754098360656</v>
      </c>
      <c r="G151" s="66" t="s">
        <v>162</v>
      </c>
      <c r="H151" s="71">
        <v>2</v>
      </c>
      <c r="I151" s="73">
        <v>127</v>
      </c>
      <c r="J151" s="71">
        <v>1997</v>
      </c>
    </row>
    <row r="152" spans="1:18" x14ac:dyDescent="0.2">
      <c r="A152" s="1" t="s">
        <v>128</v>
      </c>
      <c r="B152" s="1" t="s">
        <v>126</v>
      </c>
      <c r="C152" s="3" t="s">
        <v>16</v>
      </c>
      <c r="D152" s="2">
        <v>55</v>
      </c>
      <c r="E152" s="5">
        <v>4</v>
      </c>
      <c r="F152" s="4">
        <f t="shared" si="3"/>
        <v>7.2727272727272724E-2</v>
      </c>
      <c r="G152" s="66" t="s">
        <v>162</v>
      </c>
      <c r="H152" s="71">
        <v>2</v>
      </c>
      <c r="I152" s="73">
        <v>127</v>
      </c>
      <c r="J152" s="71">
        <v>1997</v>
      </c>
    </row>
    <row r="153" spans="1:18" ht="17" thickBot="1" x14ac:dyDescent="0.25">
      <c r="A153" s="1" t="s">
        <v>128</v>
      </c>
      <c r="B153" s="1" t="s">
        <v>126</v>
      </c>
      <c r="C153" s="3" t="s">
        <v>29</v>
      </c>
      <c r="D153" s="2">
        <v>139</v>
      </c>
      <c r="E153" s="5">
        <v>15</v>
      </c>
      <c r="F153" s="4">
        <f t="shared" si="3"/>
        <v>0.1079136690647482</v>
      </c>
      <c r="G153" s="66" t="s">
        <v>162</v>
      </c>
      <c r="H153" s="71">
        <v>2</v>
      </c>
      <c r="I153" s="73">
        <v>127</v>
      </c>
      <c r="J153" s="71">
        <v>1997</v>
      </c>
    </row>
    <row r="154" spans="1:18" s="16" customFormat="1" x14ac:dyDescent="0.2">
      <c r="A154" s="11" t="s">
        <v>129</v>
      </c>
      <c r="B154" s="11" t="s">
        <v>94</v>
      </c>
      <c r="C154" s="12" t="s">
        <v>123</v>
      </c>
      <c r="D154" s="14">
        <v>125</v>
      </c>
      <c r="E154" s="15">
        <v>77</v>
      </c>
      <c r="F154" s="13">
        <f t="shared" si="3"/>
        <v>0.61599999999999999</v>
      </c>
      <c r="G154" s="66" t="s">
        <v>165</v>
      </c>
      <c r="H154" s="71">
        <v>18</v>
      </c>
      <c r="I154" s="73" t="s">
        <v>166</v>
      </c>
      <c r="J154" s="71">
        <v>1986</v>
      </c>
      <c r="K154" s="71"/>
      <c r="L154" s="71"/>
      <c r="M154" s="71"/>
      <c r="N154" s="71"/>
      <c r="O154" s="71"/>
      <c r="P154" s="71"/>
      <c r="Q154" s="71"/>
      <c r="R154" s="71"/>
    </row>
    <row r="155" spans="1:18" x14ac:dyDescent="0.2">
      <c r="A155" s="1" t="s">
        <v>129</v>
      </c>
      <c r="B155" s="1" t="s">
        <v>24</v>
      </c>
      <c r="C155" s="3" t="s">
        <v>123</v>
      </c>
      <c r="D155" s="2">
        <v>363</v>
      </c>
      <c r="E155" s="5">
        <v>138</v>
      </c>
      <c r="F155" s="4">
        <f t="shared" si="3"/>
        <v>0.38016528925619836</v>
      </c>
      <c r="G155" s="66" t="s">
        <v>165</v>
      </c>
      <c r="H155" s="71">
        <v>18</v>
      </c>
      <c r="I155" s="73" t="s">
        <v>166</v>
      </c>
      <c r="J155" s="71">
        <v>1986</v>
      </c>
    </row>
    <row r="156" spans="1:18" x14ac:dyDescent="0.2">
      <c r="A156" s="1" t="s">
        <v>129</v>
      </c>
      <c r="B156" s="1" t="s">
        <v>94</v>
      </c>
      <c r="C156" s="3" t="s">
        <v>32</v>
      </c>
      <c r="D156" s="2">
        <v>250</v>
      </c>
      <c r="E156" s="5">
        <v>78</v>
      </c>
      <c r="F156" s="4">
        <f t="shared" si="3"/>
        <v>0.312</v>
      </c>
      <c r="G156" s="66" t="s">
        <v>165</v>
      </c>
      <c r="H156" s="71">
        <v>18</v>
      </c>
      <c r="I156" s="73" t="s">
        <v>166</v>
      </c>
      <c r="J156" s="71">
        <v>1986</v>
      </c>
    </row>
    <row r="157" spans="1:18" x14ac:dyDescent="0.2">
      <c r="A157" s="1" t="s">
        <v>129</v>
      </c>
      <c r="B157" s="1" t="s">
        <v>24</v>
      </c>
      <c r="C157" s="3" t="s">
        <v>32</v>
      </c>
      <c r="D157" s="2">
        <v>92</v>
      </c>
      <c r="E157" s="5">
        <v>20</v>
      </c>
      <c r="F157" s="4">
        <f t="shared" si="3"/>
        <v>0.21739130434782608</v>
      </c>
      <c r="G157" s="66" t="s">
        <v>165</v>
      </c>
      <c r="H157" s="71">
        <v>18</v>
      </c>
      <c r="I157" s="73" t="s">
        <v>166</v>
      </c>
      <c r="J157" s="71">
        <v>1986</v>
      </c>
    </row>
    <row r="158" spans="1:18" x14ac:dyDescent="0.2">
      <c r="A158" s="1" t="s">
        <v>129</v>
      </c>
      <c r="B158" s="1" t="s">
        <v>94</v>
      </c>
      <c r="C158" s="3" t="s">
        <v>9</v>
      </c>
      <c r="D158" s="2">
        <v>129</v>
      </c>
      <c r="E158" s="5">
        <v>84</v>
      </c>
      <c r="F158" s="4">
        <f t="shared" si="3"/>
        <v>0.65116279069767447</v>
      </c>
      <c r="G158" s="66" t="s">
        <v>165</v>
      </c>
      <c r="H158" s="71">
        <v>18</v>
      </c>
      <c r="I158" s="73" t="s">
        <v>166</v>
      </c>
      <c r="J158" s="71">
        <v>1986</v>
      </c>
    </row>
    <row r="159" spans="1:18" x14ac:dyDescent="0.2">
      <c r="A159" s="1" t="s">
        <v>129</v>
      </c>
      <c r="B159" s="1" t="s">
        <v>24</v>
      </c>
      <c r="C159" s="3" t="s">
        <v>9</v>
      </c>
      <c r="D159" s="2">
        <v>233</v>
      </c>
      <c r="E159" s="5">
        <v>102</v>
      </c>
      <c r="F159" s="4">
        <f t="shared" si="3"/>
        <v>0.43776824034334766</v>
      </c>
      <c r="G159" s="66" t="s">
        <v>165</v>
      </c>
      <c r="H159" s="71">
        <v>18</v>
      </c>
      <c r="I159" s="73" t="s">
        <v>166</v>
      </c>
      <c r="J159" s="71">
        <v>1986</v>
      </c>
    </row>
    <row r="160" spans="1:18" x14ac:dyDescent="0.2">
      <c r="A160" s="1" t="s">
        <v>129</v>
      </c>
      <c r="B160" s="1" t="s">
        <v>94</v>
      </c>
      <c r="C160" s="3" t="s">
        <v>11</v>
      </c>
      <c r="D160" s="2">
        <v>230</v>
      </c>
      <c r="E160" s="5">
        <v>147</v>
      </c>
      <c r="F160" s="4">
        <f t="shared" si="3"/>
        <v>0.63913043478260867</v>
      </c>
      <c r="G160" s="66" t="s">
        <v>165</v>
      </c>
      <c r="H160" s="71">
        <v>18</v>
      </c>
      <c r="I160" s="73" t="s">
        <v>166</v>
      </c>
      <c r="J160" s="71">
        <v>1986</v>
      </c>
    </row>
    <row r="161" spans="1:18" x14ac:dyDescent="0.2">
      <c r="A161" s="1" t="s">
        <v>129</v>
      </c>
      <c r="B161" s="1" t="s">
        <v>94</v>
      </c>
      <c r="C161" s="3" t="s">
        <v>1</v>
      </c>
      <c r="D161" s="2">
        <v>268</v>
      </c>
      <c r="E161" s="5">
        <v>132</v>
      </c>
      <c r="F161" s="4">
        <f t="shared" si="3"/>
        <v>0.4925373134328358</v>
      </c>
      <c r="G161" s="66" t="s">
        <v>165</v>
      </c>
      <c r="H161" s="71">
        <v>18</v>
      </c>
      <c r="I161" s="73" t="s">
        <v>166</v>
      </c>
      <c r="J161" s="71">
        <v>1986</v>
      </c>
    </row>
    <row r="162" spans="1:18" x14ac:dyDescent="0.2">
      <c r="A162" s="1" t="s">
        <v>129</v>
      </c>
      <c r="B162" s="1" t="s">
        <v>24</v>
      </c>
      <c r="C162" s="3" t="s">
        <v>1</v>
      </c>
      <c r="D162" s="2">
        <v>282</v>
      </c>
      <c r="E162" s="5">
        <v>113</v>
      </c>
      <c r="F162" s="4">
        <f t="shared" si="3"/>
        <v>0.40070921985815605</v>
      </c>
      <c r="G162" s="66" t="s">
        <v>165</v>
      </c>
      <c r="H162" s="71">
        <v>18</v>
      </c>
      <c r="I162" s="73" t="s">
        <v>166</v>
      </c>
      <c r="J162" s="71">
        <v>1986</v>
      </c>
    </row>
    <row r="163" spans="1:18" x14ac:dyDescent="0.2">
      <c r="A163" s="1" t="s">
        <v>129</v>
      </c>
      <c r="B163" s="1" t="s">
        <v>94</v>
      </c>
      <c r="C163" s="3" t="s">
        <v>10</v>
      </c>
      <c r="D163" s="2">
        <v>111</v>
      </c>
      <c r="E163" s="5">
        <v>64</v>
      </c>
      <c r="F163" s="4">
        <f t="shared" si="3"/>
        <v>0.57657657657657657</v>
      </c>
      <c r="G163" s="66" t="s">
        <v>165</v>
      </c>
      <c r="H163" s="71">
        <v>18</v>
      </c>
      <c r="I163" s="73" t="s">
        <v>166</v>
      </c>
      <c r="J163" s="71">
        <v>1986</v>
      </c>
    </row>
    <row r="164" spans="1:18" x14ac:dyDescent="0.2">
      <c r="A164" s="1" t="s">
        <v>129</v>
      </c>
      <c r="B164" s="1" t="s">
        <v>24</v>
      </c>
      <c r="C164" s="3" t="s">
        <v>10</v>
      </c>
      <c r="D164" s="2">
        <v>58</v>
      </c>
      <c r="E164" s="5">
        <v>24</v>
      </c>
      <c r="F164" s="4">
        <f t="shared" si="3"/>
        <v>0.41379310344827586</v>
      </c>
      <c r="G164" s="66" t="s">
        <v>165</v>
      </c>
      <c r="H164" s="71">
        <v>18</v>
      </c>
      <c r="I164" s="73" t="s">
        <v>166</v>
      </c>
      <c r="J164" s="71">
        <v>1986</v>
      </c>
    </row>
    <row r="165" spans="1:18" x14ac:dyDescent="0.2">
      <c r="A165" s="1" t="s">
        <v>129</v>
      </c>
      <c r="B165" s="1" t="s">
        <v>94</v>
      </c>
      <c r="C165" s="3" t="s">
        <v>14</v>
      </c>
      <c r="D165" s="2">
        <v>57</v>
      </c>
      <c r="E165" s="5">
        <v>8</v>
      </c>
      <c r="F165" s="4">
        <f t="shared" si="3"/>
        <v>0.14035087719298245</v>
      </c>
      <c r="G165" s="66" t="s">
        <v>165</v>
      </c>
      <c r="H165" s="71">
        <v>18</v>
      </c>
      <c r="I165" s="73" t="s">
        <v>166</v>
      </c>
      <c r="J165" s="71">
        <v>1986</v>
      </c>
    </row>
    <row r="166" spans="1:18" x14ac:dyDescent="0.2">
      <c r="A166" s="1" t="s">
        <v>129</v>
      </c>
      <c r="B166" s="1" t="s">
        <v>24</v>
      </c>
      <c r="C166" s="3" t="s">
        <v>14</v>
      </c>
      <c r="D166" s="2">
        <v>55</v>
      </c>
      <c r="E166" s="5">
        <v>9</v>
      </c>
      <c r="F166" s="4">
        <f t="shared" si="3"/>
        <v>0.16363636363636364</v>
      </c>
      <c r="G166" s="66" t="s">
        <v>165</v>
      </c>
      <c r="H166" s="71">
        <v>18</v>
      </c>
      <c r="I166" s="73" t="s">
        <v>166</v>
      </c>
      <c r="J166" s="71">
        <v>1986</v>
      </c>
    </row>
    <row r="167" spans="1:18" x14ac:dyDescent="0.2">
      <c r="A167" s="1" t="s">
        <v>129</v>
      </c>
      <c r="B167" s="1" t="s">
        <v>94</v>
      </c>
      <c r="C167" s="3" t="s">
        <v>51</v>
      </c>
      <c r="D167" s="2">
        <v>140</v>
      </c>
      <c r="E167" s="5">
        <v>59</v>
      </c>
      <c r="F167" s="4">
        <f t="shared" si="3"/>
        <v>0.42142857142857143</v>
      </c>
      <c r="G167" s="66" t="s">
        <v>165</v>
      </c>
      <c r="H167" s="71">
        <v>18</v>
      </c>
      <c r="I167" s="73" t="s">
        <v>166</v>
      </c>
      <c r="J167" s="71">
        <v>1986</v>
      </c>
    </row>
    <row r="168" spans="1:18" x14ac:dyDescent="0.2">
      <c r="A168" s="1" t="s">
        <v>129</v>
      </c>
      <c r="B168" s="1" t="s">
        <v>24</v>
      </c>
      <c r="C168" s="3" t="s">
        <v>51</v>
      </c>
      <c r="D168" s="2">
        <v>127</v>
      </c>
      <c r="E168" s="5">
        <v>89</v>
      </c>
      <c r="F168" s="4">
        <f t="shared" si="3"/>
        <v>0.70078740157480313</v>
      </c>
      <c r="G168" s="66" t="s">
        <v>165</v>
      </c>
      <c r="H168" s="71">
        <v>18</v>
      </c>
      <c r="I168" s="73" t="s">
        <v>166</v>
      </c>
      <c r="J168" s="71">
        <v>1986</v>
      </c>
    </row>
    <row r="169" spans="1:18" x14ac:dyDescent="0.2">
      <c r="A169" s="1" t="s">
        <v>129</v>
      </c>
      <c r="B169" s="1" t="s">
        <v>94</v>
      </c>
      <c r="C169" s="3" t="s">
        <v>120</v>
      </c>
      <c r="D169" s="2">
        <v>27</v>
      </c>
      <c r="E169" s="5">
        <v>6</v>
      </c>
      <c r="F169" s="4">
        <f t="shared" si="3"/>
        <v>0.22222222222222221</v>
      </c>
      <c r="G169" s="66" t="s">
        <v>165</v>
      </c>
      <c r="H169" s="71">
        <v>18</v>
      </c>
      <c r="I169" s="73" t="s">
        <v>166</v>
      </c>
      <c r="J169" s="71">
        <v>1986</v>
      </c>
    </row>
    <row r="170" spans="1:18" x14ac:dyDescent="0.2">
      <c r="A170" s="1" t="s">
        <v>129</v>
      </c>
      <c r="B170" s="1" t="s">
        <v>24</v>
      </c>
      <c r="C170" s="3" t="s">
        <v>120</v>
      </c>
      <c r="D170" s="2">
        <v>237</v>
      </c>
      <c r="E170" s="5">
        <v>86</v>
      </c>
      <c r="F170" s="4">
        <f t="shared" si="3"/>
        <v>0.3628691983122363</v>
      </c>
      <c r="G170" s="66" t="s">
        <v>165</v>
      </c>
      <c r="H170" s="71">
        <v>18</v>
      </c>
      <c r="I170" s="73" t="s">
        <v>166</v>
      </c>
      <c r="J170" s="71">
        <v>1986</v>
      </c>
    </row>
    <row r="171" spans="1:18" x14ac:dyDescent="0.2">
      <c r="A171" s="1" t="s">
        <v>129</v>
      </c>
      <c r="B171" s="1" t="s">
        <v>94</v>
      </c>
      <c r="C171" s="3" t="s">
        <v>36</v>
      </c>
      <c r="D171" s="2">
        <v>19</v>
      </c>
      <c r="E171" s="5">
        <v>5</v>
      </c>
      <c r="F171" s="4">
        <f t="shared" si="3"/>
        <v>0.26315789473684209</v>
      </c>
      <c r="G171" s="66" t="s">
        <v>165</v>
      </c>
      <c r="H171" s="71">
        <v>18</v>
      </c>
      <c r="I171" s="73" t="s">
        <v>166</v>
      </c>
      <c r="J171" s="71">
        <v>1986</v>
      </c>
    </row>
    <row r="172" spans="1:18" ht="17" thickBot="1" x14ac:dyDescent="0.25">
      <c r="A172" s="1" t="s">
        <v>129</v>
      </c>
      <c r="B172" s="1" t="s">
        <v>24</v>
      </c>
      <c r="C172" s="3" t="s">
        <v>36</v>
      </c>
      <c r="D172" s="2">
        <v>186</v>
      </c>
      <c r="E172" s="5">
        <v>14</v>
      </c>
      <c r="F172" s="4">
        <f t="shared" si="3"/>
        <v>7.5268817204301078E-2</v>
      </c>
      <c r="G172" s="66" t="s">
        <v>165</v>
      </c>
      <c r="H172" s="71">
        <v>18</v>
      </c>
      <c r="I172" s="73" t="s">
        <v>166</v>
      </c>
      <c r="J172" s="71">
        <v>1986</v>
      </c>
    </row>
    <row r="173" spans="1:18" s="16" customFormat="1" x14ac:dyDescent="0.2">
      <c r="A173" s="11" t="s">
        <v>114</v>
      </c>
      <c r="B173" s="11" t="s">
        <v>110</v>
      </c>
      <c r="C173" s="12" t="s">
        <v>1</v>
      </c>
      <c r="D173" s="14">
        <v>122</v>
      </c>
      <c r="E173" s="15">
        <v>77</v>
      </c>
      <c r="F173" s="13">
        <f t="shared" ref="F173:F185" si="4">E173/D173</f>
        <v>0.63114754098360659</v>
      </c>
      <c r="G173" s="66" t="s">
        <v>167</v>
      </c>
      <c r="H173" s="71">
        <v>6</v>
      </c>
      <c r="I173" s="73">
        <v>356</v>
      </c>
      <c r="J173" s="71">
        <v>1995</v>
      </c>
      <c r="K173" s="71"/>
      <c r="L173" s="71"/>
      <c r="M173" s="71"/>
      <c r="N173" s="71"/>
      <c r="O173" s="71"/>
      <c r="P173" s="71"/>
      <c r="Q173" s="71"/>
      <c r="R173" s="71"/>
    </row>
    <row r="174" spans="1:18" x14ac:dyDescent="0.2">
      <c r="A174" s="1" t="s">
        <v>115</v>
      </c>
      <c r="B174" s="1" t="s">
        <v>110</v>
      </c>
      <c r="C174" s="3" t="s">
        <v>32</v>
      </c>
      <c r="D174" s="2">
        <v>119</v>
      </c>
      <c r="E174" s="5">
        <v>35</v>
      </c>
      <c r="F174" s="4">
        <f t="shared" si="4"/>
        <v>0.29411764705882354</v>
      </c>
      <c r="G174" s="66" t="s">
        <v>167</v>
      </c>
      <c r="H174" s="71">
        <v>6</v>
      </c>
      <c r="I174" s="73">
        <v>356</v>
      </c>
      <c r="J174" s="71">
        <v>1995</v>
      </c>
    </row>
    <row r="175" spans="1:18" ht="17" thickBot="1" x14ac:dyDescent="0.25">
      <c r="A175" s="1" t="s">
        <v>116</v>
      </c>
      <c r="B175" s="1" t="s">
        <v>110</v>
      </c>
      <c r="C175" s="3" t="s">
        <v>9</v>
      </c>
      <c r="D175" s="2">
        <v>200</v>
      </c>
      <c r="E175" s="5">
        <v>67</v>
      </c>
      <c r="F175" s="4">
        <f t="shared" si="4"/>
        <v>0.33500000000000002</v>
      </c>
      <c r="G175" s="66" t="s">
        <v>167</v>
      </c>
      <c r="H175" s="71">
        <v>6</v>
      </c>
      <c r="I175" s="73">
        <v>356</v>
      </c>
      <c r="J175" s="71">
        <v>1995</v>
      </c>
    </row>
    <row r="176" spans="1:18" s="16" customFormat="1" x14ac:dyDescent="0.2">
      <c r="A176" s="11" t="s">
        <v>115</v>
      </c>
      <c r="B176" s="11" t="s">
        <v>110</v>
      </c>
      <c r="C176" s="12" t="s">
        <v>1</v>
      </c>
      <c r="D176" s="14">
        <v>63</v>
      </c>
      <c r="E176" s="15">
        <v>38</v>
      </c>
      <c r="F176" s="13">
        <f t="shared" si="4"/>
        <v>0.60317460317460314</v>
      </c>
      <c r="G176" s="66" t="s">
        <v>141</v>
      </c>
      <c r="H176" s="71">
        <v>21</v>
      </c>
      <c r="I176" s="73">
        <v>463</v>
      </c>
      <c r="J176" s="71">
        <v>1995</v>
      </c>
      <c r="K176" s="71"/>
      <c r="L176" s="71"/>
      <c r="M176" s="71"/>
      <c r="N176" s="71"/>
      <c r="O176" s="71"/>
      <c r="P176" s="71"/>
      <c r="Q176" s="71"/>
      <c r="R176" s="71"/>
    </row>
    <row r="177" spans="1:18" x14ac:dyDescent="0.2">
      <c r="A177" s="1" t="s">
        <v>115</v>
      </c>
      <c r="B177" s="1" t="s">
        <v>110</v>
      </c>
      <c r="C177" s="3" t="s">
        <v>9</v>
      </c>
      <c r="D177" s="2">
        <v>235</v>
      </c>
      <c r="E177" s="5">
        <v>69</v>
      </c>
      <c r="F177" s="4">
        <f t="shared" si="4"/>
        <v>0.29361702127659572</v>
      </c>
      <c r="G177" s="66" t="s">
        <v>141</v>
      </c>
      <c r="H177" s="71">
        <v>21</v>
      </c>
      <c r="I177" s="73">
        <v>463</v>
      </c>
      <c r="J177" s="71">
        <v>1995</v>
      </c>
    </row>
    <row r="178" spans="1:18" x14ac:dyDescent="0.2">
      <c r="A178" s="1" t="s">
        <v>115</v>
      </c>
      <c r="B178" s="1" t="s">
        <v>110</v>
      </c>
      <c r="C178" s="3" t="s">
        <v>13</v>
      </c>
      <c r="D178" s="2">
        <v>60</v>
      </c>
      <c r="E178" s="5">
        <v>23</v>
      </c>
      <c r="F178" s="4">
        <f t="shared" si="4"/>
        <v>0.38333333333333336</v>
      </c>
      <c r="G178" s="66" t="s">
        <v>141</v>
      </c>
      <c r="H178" s="71">
        <v>21</v>
      </c>
      <c r="I178" s="73">
        <v>463</v>
      </c>
      <c r="J178" s="71">
        <v>1995</v>
      </c>
    </row>
    <row r="179" spans="1:18" x14ac:dyDescent="0.2">
      <c r="A179" s="1" t="s">
        <v>115</v>
      </c>
      <c r="B179" s="1" t="s">
        <v>110</v>
      </c>
      <c r="C179" s="3" t="s">
        <v>32</v>
      </c>
      <c r="D179" s="2">
        <v>173</v>
      </c>
      <c r="E179" s="5">
        <v>62</v>
      </c>
      <c r="F179" s="4">
        <f t="shared" si="4"/>
        <v>0.3583815028901734</v>
      </c>
      <c r="G179" s="66" t="s">
        <v>141</v>
      </c>
      <c r="H179" s="71">
        <v>21</v>
      </c>
      <c r="I179" s="73">
        <v>463</v>
      </c>
      <c r="J179" s="71">
        <v>1995</v>
      </c>
    </row>
    <row r="180" spans="1:18" x14ac:dyDescent="0.2">
      <c r="A180" s="1" t="s">
        <v>115</v>
      </c>
      <c r="B180" s="1" t="s">
        <v>110</v>
      </c>
      <c r="C180" s="3" t="s">
        <v>30</v>
      </c>
      <c r="D180" s="2">
        <v>33</v>
      </c>
      <c r="E180" s="5">
        <v>8</v>
      </c>
      <c r="F180" s="4">
        <f t="shared" si="4"/>
        <v>0.24242424242424243</v>
      </c>
      <c r="G180" s="66" t="s">
        <v>141</v>
      </c>
      <c r="H180" s="71">
        <v>21</v>
      </c>
      <c r="I180" s="73">
        <v>463</v>
      </c>
      <c r="J180" s="71">
        <v>1995</v>
      </c>
    </row>
    <row r="181" spans="1:18" x14ac:dyDescent="0.2">
      <c r="A181" s="1" t="s">
        <v>115</v>
      </c>
      <c r="B181" s="1" t="s">
        <v>110</v>
      </c>
      <c r="C181" s="3" t="s">
        <v>57</v>
      </c>
      <c r="D181" s="2">
        <v>22</v>
      </c>
      <c r="E181" s="5">
        <v>3</v>
      </c>
      <c r="F181" s="4">
        <f t="shared" si="4"/>
        <v>0.13636363636363635</v>
      </c>
      <c r="G181" s="66" t="s">
        <v>141</v>
      </c>
      <c r="H181" s="71">
        <v>21</v>
      </c>
      <c r="I181" s="73">
        <v>463</v>
      </c>
      <c r="J181" s="71">
        <v>1995</v>
      </c>
    </row>
    <row r="182" spans="1:18" x14ac:dyDescent="0.2">
      <c r="A182" s="1" t="s">
        <v>115</v>
      </c>
      <c r="B182" s="1" t="s">
        <v>110</v>
      </c>
      <c r="C182" s="3" t="s">
        <v>29</v>
      </c>
      <c r="D182" s="2">
        <v>28</v>
      </c>
      <c r="E182" s="5">
        <v>7</v>
      </c>
      <c r="F182" s="4">
        <f t="shared" si="4"/>
        <v>0.25</v>
      </c>
      <c r="G182" s="66" t="s">
        <v>141</v>
      </c>
      <c r="H182" s="71">
        <v>21</v>
      </c>
      <c r="I182" s="73">
        <v>463</v>
      </c>
      <c r="J182" s="71">
        <v>1995</v>
      </c>
    </row>
    <row r="183" spans="1:18" x14ac:dyDescent="0.2">
      <c r="A183" s="1" t="s">
        <v>115</v>
      </c>
      <c r="B183" s="1" t="s">
        <v>110</v>
      </c>
      <c r="C183" s="3" t="s">
        <v>8</v>
      </c>
      <c r="D183" s="2">
        <v>68</v>
      </c>
      <c r="E183" s="5">
        <v>0</v>
      </c>
      <c r="F183" s="4">
        <f t="shared" si="4"/>
        <v>0</v>
      </c>
      <c r="G183" s="66" t="s">
        <v>141</v>
      </c>
      <c r="H183" s="71">
        <v>21</v>
      </c>
      <c r="I183" s="73">
        <v>463</v>
      </c>
      <c r="J183" s="71">
        <v>1995</v>
      </c>
    </row>
    <row r="184" spans="1:18" x14ac:dyDescent="0.2">
      <c r="A184" s="1" t="s">
        <v>115</v>
      </c>
      <c r="B184" s="1" t="s">
        <v>110</v>
      </c>
      <c r="C184" s="3" t="s">
        <v>14</v>
      </c>
      <c r="D184" s="2">
        <v>56</v>
      </c>
      <c r="E184" s="5">
        <v>16</v>
      </c>
      <c r="F184" s="4">
        <f t="shared" si="4"/>
        <v>0.2857142857142857</v>
      </c>
      <c r="G184" s="66" t="s">
        <v>141</v>
      </c>
      <c r="H184" s="71">
        <v>21</v>
      </c>
      <c r="I184" s="73">
        <v>463</v>
      </c>
      <c r="J184" s="71">
        <v>1995</v>
      </c>
    </row>
    <row r="185" spans="1:18" ht="17" thickBot="1" x14ac:dyDescent="0.25">
      <c r="A185" s="1" t="s">
        <v>115</v>
      </c>
      <c r="B185" s="1" t="s">
        <v>110</v>
      </c>
      <c r="C185" s="3" t="s">
        <v>16</v>
      </c>
      <c r="D185" s="2">
        <v>43</v>
      </c>
      <c r="E185" s="5">
        <v>5</v>
      </c>
      <c r="F185" s="4">
        <f t="shared" si="4"/>
        <v>0.11627906976744186</v>
      </c>
      <c r="G185" s="66" t="s">
        <v>141</v>
      </c>
      <c r="H185" s="71">
        <v>21</v>
      </c>
      <c r="I185" s="73">
        <v>463</v>
      </c>
      <c r="J185" s="71">
        <v>1995</v>
      </c>
    </row>
    <row r="186" spans="1:18" s="16" customFormat="1" x14ac:dyDescent="0.2">
      <c r="A186" s="11" t="s">
        <v>130</v>
      </c>
      <c r="B186" s="11" t="s">
        <v>95</v>
      </c>
      <c r="C186" s="12" t="s">
        <v>9</v>
      </c>
      <c r="D186" s="14">
        <v>1323</v>
      </c>
      <c r="E186" s="15">
        <v>311</v>
      </c>
      <c r="F186" s="13">
        <f t="shared" si="3"/>
        <v>0.23507180650037793</v>
      </c>
      <c r="G186" s="66" t="s">
        <v>168</v>
      </c>
      <c r="H186" s="71">
        <v>48</v>
      </c>
      <c r="I186" s="73">
        <v>794</v>
      </c>
      <c r="J186" s="71">
        <v>1994</v>
      </c>
      <c r="K186" s="71"/>
      <c r="L186" s="71"/>
      <c r="M186" s="71"/>
      <c r="N186" s="71"/>
      <c r="O186" s="71"/>
      <c r="P186" s="71"/>
      <c r="Q186" s="71"/>
      <c r="R186" s="71"/>
    </row>
    <row r="187" spans="1:18" x14ac:dyDescent="0.2">
      <c r="A187" s="1" t="s">
        <v>130</v>
      </c>
      <c r="B187" s="1" t="s">
        <v>95</v>
      </c>
      <c r="C187" s="3" t="s">
        <v>1</v>
      </c>
      <c r="D187" s="2">
        <v>654</v>
      </c>
      <c r="E187" s="5">
        <v>201</v>
      </c>
      <c r="F187" s="4">
        <f t="shared" si="3"/>
        <v>0.30733944954128439</v>
      </c>
      <c r="G187" s="66" t="s">
        <v>168</v>
      </c>
      <c r="H187" s="71">
        <v>48</v>
      </c>
      <c r="I187" s="73">
        <v>794</v>
      </c>
      <c r="J187" s="71">
        <v>1994</v>
      </c>
    </row>
    <row r="188" spans="1:18" x14ac:dyDescent="0.2">
      <c r="A188" s="1" t="s">
        <v>130</v>
      </c>
      <c r="B188" s="1" t="s">
        <v>95</v>
      </c>
      <c r="C188" s="3" t="s">
        <v>16</v>
      </c>
      <c r="D188" s="2">
        <v>18</v>
      </c>
      <c r="E188" s="5">
        <v>0</v>
      </c>
      <c r="F188" s="4">
        <f t="shared" ref="F188:F251" si="5">E188/D188</f>
        <v>0</v>
      </c>
      <c r="G188" s="66" t="s">
        <v>168</v>
      </c>
      <c r="H188" s="71">
        <v>48</v>
      </c>
      <c r="I188" s="73">
        <v>794</v>
      </c>
      <c r="J188" s="71">
        <v>1994</v>
      </c>
    </row>
    <row r="189" spans="1:18" x14ac:dyDescent="0.2">
      <c r="A189" s="1" t="s">
        <v>130</v>
      </c>
      <c r="B189" s="1" t="s">
        <v>95</v>
      </c>
      <c r="C189" s="3" t="s">
        <v>32</v>
      </c>
      <c r="D189" s="2">
        <v>98</v>
      </c>
      <c r="E189" s="5">
        <v>14</v>
      </c>
      <c r="F189" s="4">
        <f t="shared" si="5"/>
        <v>0.14285714285714285</v>
      </c>
      <c r="G189" s="66" t="s">
        <v>168</v>
      </c>
      <c r="H189" s="71">
        <v>48</v>
      </c>
      <c r="I189" s="73">
        <v>794</v>
      </c>
      <c r="J189" s="71">
        <v>1994</v>
      </c>
    </row>
    <row r="190" spans="1:18" x14ac:dyDescent="0.2">
      <c r="A190" s="1" t="s">
        <v>130</v>
      </c>
      <c r="B190" s="1" t="s">
        <v>95</v>
      </c>
      <c r="C190" s="3" t="s">
        <v>123</v>
      </c>
      <c r="D190" s="2">
        <v>69</v>
      </c>
      <c r="E190" s="5">
        <v>25</v>
      </c>
      <c r="F190" s="4">
        <f t="shared" si="5"/>
        <v>0.36231884057971014</v>
      </c>
      <c r="G190" s="66" t="s">
        <v>168</v>
      </c>
      <c r="H190" s="71">
        <v>48</v>
      </c>
      <c r="I190" s="73">
        <v>794</v>
      </c>
      <c r="J190" s="71">
        <v>1994</v>
      </c>
    </row>
    <row r="191" spans="1:18" x14ac:dyDescent="0.2">
      <c r="A191" s="1" t="s">
        <v>130</v>
      </c>
      <c r="B191" s="1" t="s">
        <v>95</v>
      </c>
      <c r="C191" s="3" t="s">
        <v>13</v>
      </c>
      <c r="D191" s="2">
        <v>28</v>
      </c>
      <c r="E191" s="5">
        <v>6</v>
      </c>
      <c r="F191" s="4">
        <f t="shared" si="5"/>
        <v>0.21428571428571427</v>
      </c>
      <c r="G191" s="66" t="s">
        <v>168</v>
      </c>
      <c r="H191" s="71">
        <v>48</v>
      </c>
      <c r="I191" s="73">
        <v>794</v>
      </c>
      <c r="J191" s="71">
        <v>1994</v>
      </c>
    </row>
    <row r="192" spans="1:18" ht="17" thickBot="1" x14ac:dyDescent="0.25">
      <c r="A192" s="1" t="s">
        <v>130</v>
      </c>
      <c r="B192" s="1" t="s">
        <v>95</v>
      </c>
      <c r="C192" s="3" t="s">
        <v>51</v>
      </c>
      <c r="D192" s="2">
        <v>19</v>
      </c>
      <c r="E192" s="5">
        <v>8</v>
      </c>
      <c r="F192" s="4">
        <f t="shared" si="5"/>
        <v>0.42105263157894735</v>
      </c>
      <c r="G192" s="66" t="s">
        <v>168</v>
      </c>
      <c r="H192" s="71">
        <v>48</v>
      </c>
      <c r="I192" s="73">
        <v>794</v>
      </c>
      <c r="J192" s="71">
        <v>1994</v>
      </c>
    </row>
    <row r="193" spans="1:18" s="16" customFormat="1" x14ac:dyDescent="0.2">
      <c r="A193" s="11" t="s">
        <v>131</v>
      </c>
      <c r="B193" s="11" t="s">
        <v>95</v>
      </c>
      <c r="C193" s="12" t="s">
        <v>9</v>
      </c>
      <c r="D193" s="14">
        <v>763</v>
      </c>
      <c r="E193" s="15">
        <v>176</v>
      </c>
      <c r="F193" s="13">
        <f t="shared" si="5"/>
        <v>0.2306684141546527</v>
      </c>
      <c r="G193" s="66" t="s">
        <v>163</v>
      </c>
      <c r="H193" s="71">
        <v>14</v>
      </c>
      <c r="I193" s="73">
        <v>3</v>
      </c>
      <c r="J193" s="71">
        <v>1994</v>
      </c>
      <c r="K193" s="71"/>
      <c r="L193" s="71"/>
      <c r="M193" s="71"/>
      <c r="N193" s="71"/>
      <c r="O193" s="71"/>
      <c r="P193" s="71"/>
      <c r="Q193" s="71"/>
      <c r="R193" s="71"/>
    </row>
    <row r="194" spans="1:18" x14ac:dyDescent="0.2">
      <c r="A194" s="1" t="s">
        <v>131</v>
      </c>
      <c r="B194" s="1" t="s">
        <v>95</v>
      </c>
      <c r="C194" s="3" t="s">
        <v>1</v>
      </c>
      <c r="D194" s="2">
        <v>131</v>
      </c>
      <c r="E194" s="5">
        <v>53</v>
      </c>
      <c r="F194" s="4">
        <f t="shared" si="5"/>
        <v>0.40458015267175573</v>
      </c>
      <c r="G194" s="66" t="s">
        <v>163</v>
      </c>
      <c r="H194" s="71">
        <v>14</v>
      </c>
      <c r="I194" s="73">
        <v>3</v>
      </c>
      <c r="J194" s="71">
        <v>1994</v>
      </c>
    </row>
    <row r="195" spans="1:18" x14ac:dyDescent="0.2">
      <c r="A195" s="1" t="s">
        <v>131</v>
      </c>
      <c r="B195" s="1" t="s">
        <v>95</v>
      </c>
      <c r="C195" s="3" t="s">
        <v>14</v>
      </c>
      <c r="D195" s="2">
        <v>53</v>
      </c>
      <c r="E195" s="5">
        <v>7</v>
      </c>
      <c r="F195" s="4">
        <f t="shared" si="5"/>
        <v>0.13207547169811321</v>
      </c>
      <c r="G195" s="66" t="s">
        <v>163</v>
      </c>
      <c r="H195" s="71">
        <v>14</v>
      </c>
      <c r="I195" s="73">
        <v>3</v>
      </c>
      <c r="J195" s="71">
        <v>1994</v>
      </c>
    </row>
    <row r="196" spans="1:18" x14ac:dyDescent="0.2">
      <c r="A196" s="1" t="s">
        <v>131</v>
      </c>
      <c r="B196" s="1" t="s">
        <v>95</v>
      </c>
      <c r="C196" s="3" t="s">
        <v>13</v>
      </c>
      <c r="D196" s="2">
        <v>38</v>
      </c>
      <c r="E196" s="5">
        <v>14</v>
      </c>
      <c r="F196" s="4">
        <f t="shared" si="5"/>
        <v>0.36842105263157893</v>
      </c>
      <c r="G196" s="66" t="s">
        <v>163</v>
      </c>
      <c r="H196" s="71">
        <v>14</v>
      </c>
      <c r="I196" s="73">
        <v>3</v>
      </c>
      <c r="J196" s="71">
        <v>1994</v>
      </c>
    </row>
    <row r="197" spans="1:18" x14ac:dyDescent="0.2">
      <c r="A197" s="1" t="s">
        <v>131</v>
      </c>
      <c r="B197" s="1" t="s">
        <v>95</v>
      </c>
      <c r="C197" s="3" t="s">
        <v>32</v>
      </c>
      <c r="D197" s="2">
        <v>49</v>
      </c>
      <c r="E197" s="5">
        <v>11</v>
      </c>
      <c r="F197" s="4">
        <f t="shared" si="5"/>
        <v>0.22448979591836735</v>
      </c>
      <c r="G197" s="66" t="s">
        <v>163</v>
      </c>
      <c r="H197" s="71">
        <v>14</v>
      </c>
      <c r="I197" s="73">
        <v>3</v>
      </c>
      <c r="J197" s="71">
        <v>1994</v>
      </c>
    </row>
    <row r="198" spans="1:18" x14ac:dyDescent="0.2">
      <c r="A198" s="1" t="s">
        <v>131</v>
      </c>
      <c r="B198" s="1" t="s">
        <v>95</v>
      </c>
      <c r="C198" s="3" t="s">
        <v>123</v>
      </c>
      <c r="D198" s="2">
        <v>34</v>
      </c>
      <c r="E198" s="5">
        <v>11</v>
      </c>
      <c r="F198" s="4">
        <f t="shared" si="5"/>
        <v>0.3235294117647059</v>
      </c>
      <c r="G198" s="66" t="s">
        <v>163</v>
      </c>
      <c r="H198" s="71">
        <v>14</v>
      </c>
      <c r="I198" s="73">
        <v>3</v>
      </c>
      <c r="J198" s="71">
        <v>1994</v>
      </c>
    </row>
    <row r="199" spans="1:18" x14ac:dyDescent="0.2">
      <c r="A199" s="1" t="s">
        <v>131</v>
      </c>
      <c r="B199" s="1" t="s">
        <v>95</v>
      </c>
      <c r="C199" s="3" t="s">
        <v>36</v>
      </c>
      <c r="D199" s="2">
        <v>21</v>
      </c>
      <c r="E199" s="5">
        <v>1</v>
      </c>
      <c r="F199" s="4">
        <f t="shared" si="5"/>
        <v>4.7619047619047616E-2</v>
      </c>
      <c r="G199" s="66" t="s">
        <v>163</v>
      </c>
      <c r="H199" s="71">
        <v>14</v>
      </c>
      <c r="I199" s="73">
        <v>3</v>
      </c>
      <c r="J199" s="71">
        <v>1994</v>
      </c>
    </row>
    <row r="200" spans="1:18" x14ac:dyDescent="0.2">
      <c r="A200" s="1" t="s">
        <v>131</v>
      </c>
      <c r="B200" s="1" t="s">
        <v>95</v>
      </c>
      <c r="C200" s="3" t="s">
        <v>16</v>
      </c>
      <c r="D200" s="2">
        <v>18</v>
      </c>
      <c r="E200" s="5">
        <v>0</v>
      </c>
      <c r="F200" s="4">
        <f t="shared" si="5"/>
        <v>0</v>
      </c>
      <c r="G200" s="66" t="s">
        <v>163</v>
      </c>
      <c r="H200" s="71">
        <v>14</v>
      </c>
      <c r="I200" s="73">
        <v>3</v>
      </c>
      <c r="J200" s="71">
        <v>1994</v>
      </c>
    </row>
    <row r="201" spans="1:18" ht="17" thickBot="1" x14ac:dyDescent="0.25">
      <c r="A201" s="1" t="s">
        <v>131</v>
      </c>
      <c r="B201" s="1" t="s">
        <v>95</v>
      </c>
      <c r="C201" s="3" t="s">
        <v>29</v>
      </c>
      <c r="D201" s="2">
        <v>20</v>
      </c>
      <c r="E201" s="5">
        <v>0</v>
      </c>
      <c r="F201" s="4">
        <f t="shared" si="5"/>
        <v>0</v>
      </c>
      <c r="G201" s="66" t="s">
        <v>163</v>
      </c>
      <c r="H201" s="71">
        <v>14</v>
      </c>
      <c r="I201" s="73">
        <v>3</v>
      </c>
      <c r="J201" s="71">
        <v>1994</v>
      </c>
    </row>
    <row r="202" spans="1:18" s="16" customFormat="1" x14ac:dyDescent="0.2">
      <c r="A202" s="11" t="s">
        <v>132</v>
      </c>
      <c r="B202" s="11" t="s">
        <v>133</v>
      </c>
      <c r="C202" s="12" t="s">
        <v>123</v>
      </c>
      <c r="D202" s="14">
        <v>242</v>
      </c>
      <c r="E202" s="15">
        <v>50</v>
      </c>
      <c r="F202" s="13">
        <f t="shared" si="5"/>
        <v>0.20661157024793389</v>
      </c>
      <c r="G202" s="66" t="s">
        <v>170</v>
      </c>
      <c r="H202" s="71">
        <v>56</v>
      </c>
      <c r="I202" s="73">
        <v>1</v>
      </c>
      <c r="J202" s="71">
        <v>1999</v>
      </c>
      <c r="K202" s="71"/>
      <c r="L202" s="71"/>
      <c r="M202" s="71"/>
      <c r="N202" s="71"/>
      <c r="O202" s="71"/>
      <c r="P202" s="71"/>
      <c r="Q202" s="71"/>
      <c r="R202" s="71"/>
    </row>
    <row r="203" spans="1:18" x14ac:dyDescent="0.2">
      <c r="A203" s="1" t="s">
        <v>132</v>
      </c>
      <c r="B203" s="1" t="s">
        <v>133</v>
      </c>
      <c r="C203" s="3" t="s">
        <v>32</v>
      </c>
      <c r="D203" s="2">
        <v>153</v>
      </c>
      <c r="E203" s="5">
        <v>23</v>
      </c>
      <c r="F203" s="4">
        <f t="shared" si="5"/>
        <v>0.15032679738562091</v>
      </c>
      <c r="G203" s="66" t="s">
        <v>170</v>
      </c>
      <c r="H203" s="71">
        <v>56</v>
      </c>
      <c r="I203" s="73">
        <v>1</v>
      </c>
      <c r="J203" s="71">
        <v>1999</v>
      </c>
    </row>
    <row r="204" spans="1:18" x14ac:dyDescent="0.2">
      <c r="A204" s="1" t="s">
        <v>132</v>
      </c>
      <c r="B204" s="1" t="s">
        <v>133</v>
      </c>
      <c r="C204" s="3" t="s">
        <v>8</v>
      </c>
      <c r="D204" s="2">
        <v>62</v>
      </c>
      <c r="E204" s="5">
        <v>6</v>
      </c>
      <c r="F204" s="4">
        <f t="shared" si="5"/>
        <v>9.6774193548387094E-2</v>
      </c>
      <c r="G204" s="66" t="s">
        <v>170</v>
      </c>
      <c r="H204" s="71">
        <v>56</v>
      </c>
      <c r="I204" s="73">
        <v>1</v>
      </c>
      <c r="J204" s="71">
        <v>1999</v>
      </c>
    </row>
    <row r="205" spans="1:18" x14ac:dyDescent="0.2">
      <c r="A205" s="1" t="s">
        <v>132</v>
      </c>
      <c r="B205" s="1" t="s">
        <v>133</v>
      </c>
      <c r="C205" s="3" t="s">
        <v>1</v>
      </c>
      <c r="D205" s="2">
        <v>65</v>
      </c>
      <c r="E205" s="5">
        <v>10</v>
      </c>
      <c r="F205" s="4">
        <f t="shared" si="5"/>
        <v>0.15384615384615385</v>
      </c>
      <c r="G205" s="66" t="s">
        <v>170</v>
      </c>
      <c r="H205" s="71">
        <v>56</v>
      </c>
      <c r="I205" s="73">
        <v>1</v>
      </c>
      <c r="J205" s="71">
        <v>1999</v>
      </c>
    </row>
    <row r="206" spans="1:18" ht="17" thickBot="1" x14ac:dyDescent="0.25">
      <c r="A206" s="1" t="s">
        <v>132</v>
      </c>
      <c r="B206" s="1" t="s">
        <v>133</v>
      </c>
      <c r="C206" s="3" t="s">
        <v>9</v>
      </c>
      <c r="D206" s="2">
        <v>364</v>
      </c>
      <c r="E206" s="5">
        <v>54</v>
      </c>
      <c r="F206" s="4">
        <f t="shared" si="5"/>
        <v>0.14835164835164835</v>
      </c>
      <c r="G206" s="66" t="s">
        <v>170</v>
      </c>
      <c r="H206" s="71">
        <v>56</v>
      </c>
      <c r="I206" s="73">
        <v>1</v>
      </c>
      <c r="J206" s="71">
        <v>1999</v>
      </c>
    </row>
    <row r="207" spans="1:18" s="16" customFormat="1" x14ac:dyDescent="0.2">
      <c r="A207" s="11" t="s">
        <v>134</v>
      </c>
      <c r="B207" s="11" t="s">
        <v>133</v>
      </c>
      <c r="C207" s="12" t="s">
        <v>1</v>
      </c>
      <c r="D207" s="14">
        <v>16</v>
      </c>
      <c r="E207" s="15">
        <v>5</v>
      </c>
      <c r="F207" s="13">
        <f t="shared" si="5"/>
        <v>0.3125</v>
      </c>
      <c r="G207" s="66" t="s">
        <v>169</v>
      </c>
      <c r="H207" s="71"/>
      <c r="I207" s="73">
        <v>593</v>
      </c>
      <c r="J207" s="71">
        <v>1997</v>
      </c>
      <c r="K207" s="71"/>
      <c r="L207" s="71"/>
      <c r="M207" s="71"/>
      <c r="N207" s="71"/>
      <c r="O207" s="71"/>
      <c r="P207" s="71"/>
      <c r="Q207" s="71"/>
      <c r="R207" s="71"/>
    </row>
    <row r="208" spans="1:18" x14ac:dyDescent="0.2">
      <c r="A208" s="1" t="s">
        <v>134</v>
      </c>
      <c r="B208" s="1" t="s">
        <v>133</v>
      </c>
      <c r="C208" s="3" t="s">
        <v>37</v>
      </c>
      <c r="D208" s="2">
        <v>22</v>
      </c>
      <c r="E208" s="5">
        <v>4</v>
      </c>
      <c r="F208" s="4">
        <f t="shared" si="5"/>
        <v>0.18181818181818182</v>
      </c>
      <c r="G208" s="66" t="s">
        <v>169</v>
      </c>
      <c r="I208" s="73">
        <v>593</v>
      </c>
      <c r="J208" s="71">
        <v>1997</v>
      </c>
    </row>
    <row r="209" spans="1:18" x14ac:dyDescent="0.2">
      <c r="A209" s="1" t="s">
        <v>134</v>
      </c>
      <c r="B209" s="1" t="s">
        <v>133</v>
      </c>
      <c r="C209" s="3" t="s">
        <v>13</v>
      </c>
      <c r="D209" s="2">
        <v>45</v>
      </c>
      <c r="E209" s="5">
        <v>4</v>
      </c>
      <c r="F209" s="4">
        <f t="shared" si="5"/>
        <v>8.8888888888888892E-2</v>
      </c>
      <c r="G209" s="66" t="s">
        <v>169</v>
      </c>
      <c r="I209" s="73">
        <v>593</v>
      </c>
      <c r="J209" s="71">
        <v>1997</v>
      </c>
    </row>
    <row r="210" spans="1:18" x14ac:dyDescent="0.2">
      <c r="A210" s="1" t="s">
        <v>134</v>
      </c>
      <c r="B210" s="1" t="s">
        <v>133</v>
      </c>
      <c r="C210" s="3" t="s">
        <v>120</v>
      </c>
      <c r="D210" s="2">
        <v>12</v>
      </c>
      <c r="E210" s="5">
        <v>0</v>
      </c>
      <c r="F210" s="4">
        <f t="shared" si="5"/>
        <v>0</v>
      </c>
      <c r="G210" s="66" t="s">
        <v>169</v>
      </c>
      <c r="I210" s="73">
        <v>593</v>
      </c>
      <c r="J210" s="71">
        <v>1997</v>
      </c>
    </row>
    <row r="211" spans="1:18" x14ac:dyDescent="0.2">
      <c r="A211" s="1" t="s">
        <v>134</v>
      </c>
      <c r="B211" s="1" t="s">
        <v>133</v>
      </c>
      <c r="C211" s="3" t="s">
        <v>14</v>
      </c>
      <c r="D211" s="2">
        <v>17</v>
      </c>
      <c r="E211" s="5">
        <v>1</v>
      </c>
      <c r="F211" s="4">
        <f t="shared" si="5"/>
        <v>5.8823529411764705E-2</v>
      </c>
      <c r="G211" s="66" t="s">
        <v>169</v>
      </c>
      <c r="I211" s="73">
        <v>593</v>
      </c>
      <c r="J211" s="71">
        <v>1997</v>
      </c>
    </row>
    <row r="212" spans="1:18" x14ac:dyDescent="0.2">
      <c r="A212" s="1" t="s">
        <v>134</v>
      </c>
      <c r="B212" s="1" t="s">
        <v>133</v>
      </c>
      <c r="C212" s="3" t="s">
        <v>29</v>
      </c>
      <c r="D212" s="2">
        <v>30</v>
      </c>
      <c r="E212" s="5">
        <v>1</v>
      </c>
      <c r="F212" s="4">
        <f t="shared" si="5"/>
        <v>3.3333333333333333E-2</v>
      </c>
      <c r="G212" s="66" t="s">
        <v>169</v>
      </c>
      <c r="I212" s="73">
        <v>593</v>
      </c>
      <c r="J212" s="71">
        <v>1997</v>
      </c>
    </row>
    <row r="213" spans="1:18" x14ac:dyDescent="0.2">
      <c r="A213" s="1" t="s">
        <v>134</v>
      </c>
      <c r="B213" s="1" t="s">
        <v>133</v>
      </c>
      <c r="C213" s="3" t="s">
        <v>36</v>
      </c>
      <c r="D213" s="2">
        <v>13</v>
      </c>
      <c r="E213" s="5">
        <v>1</v>
      </c>
      <c r="F213" s="4">
        <f t="shared" si="5"/>
        <v>7.6923076923076927E-2</v>
      </c>
      <c r="G213" s="66" t="s">
        <v>169</v>
      </c>
      <c r="I213" s="73">
        <v>593</v>
      </c>
      <c r="J213" s="71">
        <v>1997</v>
      </c>
    </row>
    <row r="214" spans="1:18" x14ac:dyDescent="0.2">
      <c r="A214" s="1" t="s">
        <v>134</v>
      </c>
      <c r="B214" s="1" t="s">
        <v>133</v>
      </c>
      <c r="C214" s="3" t="s">
        <v>16</v>
      </c>
      <c r="D214" s="2">
        <v>15</v>
      </c>
      <c r="E214" s="5">
        <v>0</v>
      </c>
      <c r="F214" s="4">
        <f t="shared" si="5"/>
        <v>0</v>
      </c>
      <c r="G214" s="66" t="s">
        <v>169</v>
      </c>
      <c r="I214" s="73">
        <v>593</v>
      </c>
      <c r="J214" s="71">
        <v>1997</v>
      </c>
    </row>
    <row r="215" spans="1:18" ht="17" thickBot="1" x14ac:dyDescent="0.25">
      <c r="A215" s="1" t="s">
        <v>134</v>
      </c>
      <c r="B215" s="1" t="s">
        <v>133</v>
      </c>
      <c r="C215" s="3" t="s">
        <v>10</v>
      </c>
      <c r="D215" s="2">
        <v>29</v>
      </c>
      <c r="E215" s="5">
        <v>3</v>
      </c>
      <c r="F215" s="4">
        <f t="shared" si="5"/>
        <v>0.10344827586206896</v>
      </c>
      <c r="G215" s="66" t="s">
        <v>169</v>
      </c>
      <c r="I215" s="73">
        <v>593</v>
      </c>
      <c r="J215" s="71">
        <v>1997</v>
      </c>
    </row>
    <row r="216" spans="1:18" s="16" customFormat="1" x14ac:dyDescent="0.2">
      <c r="A216" s="11" t="s">
        <v>135</v>
      </c>
      <c r="B216" s="11" t="s">
        <v>91</v>
      </c>
      <c r="C216" s="12" t="s">
        <v>32</v>
      </c>
      <c r="D216" s="14">
        <v>44</v>
      </c>
      <c r="E216" s="15">
        <v>10</v>
      </c>
      <c r="F216" s="13">
        <f t="shared" si="5"/>
        <v>0.22727272727272727</v>
      </c>
      <c r="G216" s="66" t="s">
        <v>165</v>
      </c>
      <c r="H216" s="71">
        <v>2</v>
      </c>
      <c r="I216" s="73">
        <v>271</v>
      </c>
      <c r="J216" s="71">
        <v>1979</v>
      </c>
      <c r="K216" s="71"/>
      <c r="L216" s="71"/>
      <c r="M216" s="71"/>
      <c r="N216" s="71"/>
      <c r="O216" s="71"/>
      <c r="P216" s="71"/>
      <c r="Q216" s="71"/>
      <c r="R216" s="71"/>
    </row>
    <row r="217" spans="1:18" x14ac:dyDescent="0.2">
      <c r="A217" s="1" t="s">
        <v>135</v>
      </c>
      <c r="B217" s="1" t="s">
        <v>91</v>
      </c>
      <c r="C217" s="3" t="s">
        <v>16</v>
      </c>
      <c r="D217" s="2">
        <v>17</v>
      </c>
      <c r="E217" s="5">
        <v>0</v>
      </c>
      <c r="F217" s="4">
        <f t="shared" si="5"/>
        <v>0</v>
      </c>
      <c r="G217" s="66" t="s">
        <v>165</v>
      </c>
      <c r="H217" s="71">
        <v>2</v>
      </c>
      <c r="I217" s="73">
        <v>271</v>
      </c>
      <c r="J217" s="71">
        <v>1979</v>
      </c>
    </row>
    <row r="218" spans="1:18" x14ac:dyDescent="0.2">
      <c r="A218" s="1" t="s">
        <v>135</v>
      </c>
      <c r="B218" s="1" t="s">
        <v>91</v>
      </c>
      <c r="C218" s="3" t="s">
        <v>14</v>
      </c>
      <c r="D218" s="2">
        <v>19</v>
      </c>
      <c r="E218" s="5">
        <v>2</v>
      </c>
      <c r="F218" s="4">
        <f t="shared" si="5"/>
        <v>0.10526315789473684</v>
      </c>
      <c r="G218" s="66" t="s">
        <v>165</v>
      </c>
      <c r="H218" s="71">
        <v>2</v>
      </c>
      <c r="I218" s="73">
        <v>271</v>
      </c>
      <c r="J218" s="71">
        <v>1979</v>
      </c>
    </row>
    <row r="219" spans="1:18" x14ac:dyDescent="0.2">
      <c r="A219" s="1" t="s">
        <v>135</v>
      </c>
      <c r="B219" s="1" t="s">
        <v>91</v>
      </c>
      <c r="C219" s="3" t="s">
        <v>1</v>
      </c>
      <c r="D219" s="2">
        <v>13</v>
      </c>
      <c r="E219" s="5">
        <v>0</v>
      </c>
      <c r="F219" s="4">
        <f t="shared" si="5"/>
        <v>0</v>
      </c>
      <c r="G219" s="66" t="s">
        <v>165</v>
      </c>
      <c r="H219" s="71">
        <v>2</v>
      </c>
      <c r="I219" s="73">
        <v>271</v>
      </c>
      <c r="J219" s="71">
        <v>1979</v>
      </c>
    </row>
    <row r="220" spans="1:18" x14ac:dyDescent="0.2">
      <c r="A220" s="1" t="s">
        <v>135</v>
      </c>
      <c r="B220" s="1" t="s">
        <v>91</v>
      </c>
      <c r="C220" s="3" t="s">
        <v>11</v>
      </c>
      <c r="D220" s="2">
        <v>12</v>
      </c>
      <c r="E220" s="5">
        <v>2</v>
      </c>
      <c r="F220" s="4">
        <f t="shared" si="5"/>
        <v>0.16666666666666666</v>
      </c>
      <c r="G220" s="66" t="s">
        <v>165</v>
      </c>
      <c r="H220" s="71">
        <v>2</v>
      </c>
      <c r="I220" s="73">
        <v>271</v>
      </c>
      <c r="J220" s="71">
        <v>1979</v>
      </c>
    </row>
    <row r="221" spans="1:18" x14ac:dyDescent="0.2">
      <c r="A221" s="1" t="s">
        <v>135</v>
      </c>
      <c r="B221" s="1" t="s">
        <v>91</v>
      </c>
      <c r="C221" s="3" t="s">
        <v>57</v>
      </c>
      <c r="D221" s="2">
        <v>11</v>
      </c>
      <c r="E221" s="5">
        <v>1</v>
      </c>
      <c r="F221" s="4">
        <f t="shared" si="5"/>
        <v>9.0909090909090912E-2</v>
      </c>
      <c r="G221" s="66" t="s">
        <v>165</v>
      </c>
      <c r="H221" s="71">
        <v>2</v>
      </c>
      <c r="I221" s="73">
        <v>271</v>
      </c>
      <c r="J221" s="71">
        <v>1979</v>
      </c>
    </row>
    <row r="222" spans="1:18" x14ac:dyDescent="0.2">
      <c r="A222" s="1" t="s">
        <v>135</v>
      </c>
      <c r="B222" s="1" t="s">
        <v>91</v>
      </c>
      <c r="C222" s="3" t="s">
        <v>51</v>
      </c>
      <c r="D222" s="2">
        <v>29</v>
      </c>
      <c r="E222" s="5">
        <v>4</v>
      </c>
      <c r="F222" s="4">
        <f t="shared" si="5"/>
        <v>0.13793103448275862</v>
      </c>
      <c r="G222" s="66" t="s">
        <v>165</v>
      </c>
      <c r="H222" s="71">
        <v>2</v>
      </c>
      <c r="I222" s="73">
        <v>271</v>
      </c>
      <c r="J222" s="71">
        <v>1979</v>
      </c>
    </row>
    <row r="223" spans="1:18" ht="17" thickBot="1" x14ac:dyDescent="0.25">
      <c r="A223" s="1" t="s">
        <v>135</v>
      </c>
      <c r="B223" s="1" t="s">
        <v>91</v>
      </c>
      <c r="C223" s="3" t="s">
        <v>120</v>
      </c>
      <c r="D223" s="2">
        <v>16</v>
      </c>
      <c r="E223" s="5">
        <v>1</v>
      </c>
      <c r="F223" s="4">
        <f t="shared" si="5"/>
        <v>6.25E-2</v>
      </c>
      <c r="G223" s="66" t="s">
        <v>165</v>
      </c>
      <c r="H223" s="71">
        <v>2</v>
      </c>
      <c r="I223" s="73">
        <v>271</v>
      </c>
      <c r="J223" s="71">
        <v>1979</v>
      </c>
    </row>
    <row r="224" spans="1:18" s="16" customFormat="1" x14ac:dyDescent="0.2">
      <c r="A224" s="11" t="s">
        <v>136</v>
      </c>
      <c r="B224" s="11" t="s">
        <v>91</v>
      </c>
      <c r="C224" s="12" t="s">
        <v>120</v>
      </c>
      <c r="D224" s="14">
        <v>171</v>
      </c>
      <c r="E224" s="15">
        <v>72</v>
      </c>
      <c r="F224" s="13">
        <f t="shared" si="5"/>
        <v>0.42105263157894735</v>
      </c>
      <c r="G224" s="66" t="s">
        <v>163</v>
      </c>
      <c r="H224" s="71">
        <v>3</v>
      </c>
      <c r="I224" s="73">
        <v>259</v>
      </c>
      <c r="J224" s="71">
        <v>1983</v>
      </c>
      <c r="K224" s="71"/>
      <c r="L224" s="71"/>
      <c r="M224" s="71"/>
      <c r="N224" s="71"/>
      <c r="O224" s="71"/>
      <c r="P224" s="71"/>
      <c r="Q224" s="71"/>
      <c r="R224" s="71"/>
    </row>
    <row r="225" spans="1:18" x14ac:dyDescent="0.2">
      <c r="A225" s="1" t="s">
        <v>136</v>
      </c>
      <c r="B225" s="1" t="s">
        <v>91</v>
      </c>
      <c r="C225" s="3" t="s">
        <v>32</v>
      </c>
      <c r="D225" s="2">
        <v>311</v>
      </c>
      <c r="E225" s="5">
        <v>51</v>
      </c>
      <c r="F225" s="4">
        <f t="shared" si="5"/>
        <v>0.16398713826366559</v>
      </c>
      <c r="G225" s="66" t="s">
        <v>163</v>
      </c>
      <c r="H225" s="71">
        <v>3</v>
      </c>
      <c r="I225" s="73">
        <v>259</v>
      </c>
      <c r="J225" s="71">
        <v>1983</v>
      </c>
    </row>
    <row r="226" spans="1:18" x14ac:dyDescent="0.2">
      <c r="A226" s="1" t="s">
        <v>136</v>
      </c>
      <c r="B226" s="1" t="s">
        <v>91</v>
      </c>
      <c r="C226" s="3" t="s">
        <v>51</v>
      </c>
      <c r="D226" s="2">
        <v>91</v>
      </c>
      <c r="E226" s="5">
        <v>38</v>
      </c>
      <c r="F226" s="4">
        <f t="shared" si="5"/>
        <v>0.4175824175824176</v>
      </c>
      <c r="G226" s="66" t="s">
        <v>163</v>
      </c>
      <c r="H226" s="71">
        <v>3</v>
      </c>
      <c r="I226" s="73">
        <v>259</v>
      </c>
      <c r="J226" s="71">
        <v>1983</v>
      </c>
    </row>
    <row r="227" spans="1:18" x14ac:dyDescent="0.2">
      <c r="A227" s="1" t="s">
        <v>136</v>
      </c>
      <c r="B227" s="1" t="s">
        <v>91</v>
      </c>
      <c r="C227" s="3" t="s">
        <v>123</v>
      </c>
      <c r="D227" s="2">
        <v>120</v>
      </c>
      <c r="E227" s="5">
        <v>15</v>
      </c>
      <c r="F227" s="4">
        <f t="shared" si="5"/>
        <v>0.125</v>
      </c>
      <c r="G227" s="66" t="s">
        <v>163</v>
      </c>
      <c r="H227" s="71">
        <v>3</v>
      </c>
      <c r="I227" s="73">
        <v>259</v>
      </c>
      <c r="J227" s="71">
        <v>1983</v>
      </c>
    </row>
    <row r="228" spans="1:18" x14ac:dyDescent="0.2">
      <c r="A228" s="1" t="s">
        <v>136</v>
      </c>
      <c r="B228" s="1" t="s">
        <v>91</v>
      </c>
      <c r="C228" s="3" t="s">
        <v>14</v>
      </c>
      <c r="D228" s="2">
        <v>225</v>
      </c>
      <c r="E228" s="5">
        <v>31</v>
      </c>
      <c r="F228" s="4">
        <f t="shared" si="5"/>
        <v>0.13777777777777778</v>
      </c>
      <c r="G228" s="66" t="s">
        <v>163</v>
      </c>
      <c r="H228" s="71">
        <v>3</v>
      </c>
      <c r="I228" s="73">
        <v>259</v>
      </c>
      <c r="J228" s="71">
        <v>1983</v>
      </c>
    </row>
    <row r="229" spans="1:18" x14ac:dyDescent="0.2">
      <c r="A229" s="1" t="s">
        <v>136</v>
      </c>
      <c r="B229" s="1" t="s">
        <v>91</v>
      </c>
      <c r="C229" s="3" t="s">
        <v>13</v>
      </c>
      <c r="D229" s="2">
        <v>79</v>
      </c>
      <c r="E229" s="5">
        <v>13</v>
      </c>
      <c r="F229" s="4">
        <f t="shared" si="5"/>
        <v>0.16455696202531644</v>
      </c>
      <c r="G229" s="66" t="s">
        <v>163</v>
      </c>
      <c r="H229" s="71">
        <v>3</v>
      </c>
      <c r="I229" s="73">
        <v>259</v>
      </c>
      <c r="J229" s="71">
        <v>1983</v>
      </c>
    </row>
    <row r="230" spans="1:18" x14ac:dyDescent="0.2">
      <c r="A230" s="1" t="s">
        <v>136</v>
      </c>
      <c r="B230" s="1" t="s">
        <v>91</v>
      </c>
      <c r="C230" s="3" t="s">
        <v>8</v>
      </c>
      <c r="D230" s="2">
        <v>76</v>
      </c>
      <c r="E230" s="5">
        <v>2</v>
      </c>
      <c r="F230" s="4">
        <f t="shared" si="5"/>
        <v>2.6315789473684209E-2</v>
      </c>
      <c r="G230" s="66" t="s">
        <v>163</v>
      </c>
      <c r="H230" s="71">
        <v>3</v>
      </c>
      <c r="I230" s="73">
        <v>259</v>
      </c>
      <c r="J230" s="71">
        <v>1983</v>
      </c>
    </row>
    <row r="231" spans="1:18" x14ac:dyDescent="0.2">
      <c r="A231" s="1" t="s">
        <v>136</v>
      </c>
      <c r="B231" s="1" t="s">
        <v>91</v>
      </c>
      <c r="C231" s="3" t="s">
        <v>57</v>
      </c>
      <c r="D231" s="2">
        <v>23</v>
      </c>
      <c r="E231" s="5">
        <v>4</v>
      </c>
      <c r="F231" s="4">
        <f t="shared" si="5"/>
        <v>0.17391304347826086</v>
      </c>
      <c r="G231" s="66" t="s">
        <v>163</v>
      </c>
      <c r="H231" s="71">
        <v>3</v>
      </c>
      <c r="I231" s="73">
        <v>259</v>
      </c>
      <c r="J231" s="71">
        <v>1983</v>
      </c>
    </row>
    <row r="232" spans="1:18" x14ac:dyDescent="0.2">
      <c r="A232" s="1" t="s">
        <v>136</v>
      </c>
      <c r="B232" s="1" t="s">
        <v>91</v>
      </c>
      <c r="C232" s="3" t="s">
        <v>1</v>
      </c>
      <c r="D232" s="2">
        <v>208</v>
      </c>
      <c r="E232" s="5">
        <v>40</v>
      </c>
      <c r="F232" s="4">
        <f t="shared" si="5"/>
        <v>0.19230769230769232</v>
      </c>
      <c r="G232" s="66" t="s">
        <v>163</v>
      </c>
      <c r="H232" s="71">
        <v>3</v>
      </c>
      <c r="I232" s="73">
        <v>259</v>
      </c>
      <c r="J232" s="71">
        <v>1983</v>
      </c>
    </row>
    <row r="233" spans="1:18" x14ac:dyDescent="0.2">
      <c r="A233" s="1" t="s">
        <v>136</v>
      </c>
      <c r="B233" s="1" t="s">
        <v>91</v>
      </c>
      <c r="C233" s="3" t="s">
        <v>16</v>
      </c>
      <c r="D233" s="2">
        <v>51</v>
      </c>
      <c r="E233" s="5">
        <v>2</v>
      </c>
      <c r="F233" s="4">
        <f t="shared" si="5"/>
        <v>3.9215686274509803E-2</v>
      </c>
      <c r="G233" s="66" t="s">
        <v>163</v>
      </c>
      <c r="H233" s="71">
        <v>3</v>
      </c>
      <c r="I233" s="73">
        <v>259</v>
      </c>
      <c r="J233" s="71">
        <v>1983</v>
      </c>
    </row>
    <row r="234" spans="1:18" x14ac:dyDescent="0.2">
      <c r="A234" s="1" t="s">
        <v>136</v>
      </c>
      <c r="B234" s="1" t="s">
        <v>91</v>
      </c>
      <c r="C234" s="3" t="s">
        <v>9</v>
      </c>
      <c r="D234" s="2">
        <v>16</v>
      </c>
      <c r="E234" s="5">
        <v>4</v>
      </c>
      <c r="F234" s="4">
        <f t="shared" si="5"/>
        <v>0.25</v>
      </c>
      <c r="G234" s="66" t="s">
        <v>163</v>
      </c>
      <c r="H234" s="71">
        <v>3</v>
      </c>
      <c r="I234" s="73">
        <v>259</v>
      </c>
      <c r="J234" s="71">
        <v>1983</v>
      </c>
    </row>
    <row r="235" spans="1:18" ht="17" thickBot="1" x14ac:dyDescent="0.25">
      <c r="A235" s="1" t="s">
        <v>136</v>
      </c>
      <c r="B235" s="1" t="s">
        <v>91</v>
      </c>
      <c r="C235" s="3" t="s">
        <v>10</v>
      </c>
      <c r="D235" s="2">
        <v>68</v>
      </c>
      <c r="E235" s="5">
        <v>8</v>
      </c>
      <c r="F235" s="4">
        <f t="shared" si="5"/>
        <v>0.11764705882352941</v>
      </c>
      <c r="G235" s="66" t="s">
        <v>163</v>
      </c>
      <c r="H235" s="71">
        <v>3</v>
      </c>
      <c r="I235" s="73">
        <v>259</v>
      </c>
      <c r="J235" s="71">
        <v>1983</v>
      </c>
    </row>
    <row r="236" spans="1:18" s="62" customFormat="1" ht="17" thickTop="1" x14ac:dyDescent="0.2">
      <c r="A236" s="57" t="s">
        <v>137</v>
      </c>
      <c r="B236" s="57" t="s">
        <v>19</v>
      </c>
      <c r="C236" s="58" t="s">
        <v>14</v>
      </c>
      <c r="D236" s="59">
        <v>851</v>
      </c>
      <c r="E236" s="60">
        <v>204</v>
      </c>
      <c r="F236" s="61">
        <f t="shared" si="5"/>
        <v>0.23971797884841364</v>
      </c>
      <c r="G236" s="66" t="s">
        <v>171</v>
      </c>
      <c r="H236" s="71" t="s">
        <v>172</v>
      </c>
      <c r="I236" s="73"/>
      <c r="J236" s="71"/>
      <c r="K236" s="71"/>
      <c r="L236" s="71"/>
      <c r="M236" s="71"/>
      <c r="N236" s="71"/>
      <c r="O236" s="71"/>
      <c r="P236" s="71"/>
      <c r="Q236" s="71"/>
      <c r="R236" s="71"/>
    </row>
    <row r="237" spans="1:18" x14ac:dyDescent="0.2">
      <c r="A237" s="1" t="s">
        <v>137</v>
      </c>
      <c r="B237" s="1" t="s">
        <v>75</v>
      </c>
      <c r="C237" s="3" t="s">
        <v>14</v>
      </c>
      <c r="D237" s="2">
        <v>89</v>
      </c>
      <c r="E237" s="5">
        <v>21</v>
      </c>
      <c r="F237" s="4">
        <f t="shared" si="5"/>
        <v>0.23595505617977527</v>
      </c>
      <c r="G237" s="66" t="s">
        <v>171</v>
      </c>
      <c r="H237" s="71" t="s">
        <v>172</v>
      </c>
    </row>
    <row r="238" spans="1:18" x14ac:dyDescent="0.2">
      <c r="A238" s="1" t="s">
        <v>137</v>
      </c>
      <c r="B238" s="1" t="s">
        <v>21</v>
      </c>
      <c r="C238" s="3" t="s">
        <v>14</v>
      </c>
      <c r="D238" s="2">
        <v>16</v>
      </c>
      <c r="E238" s="5">
        <v>3</v>
      </c>
      <c r="F238" s="4">
        <f t="shared" si="5"/>
        <v>0.1875</v>
      </c>
      <c r="G238" s="66" t="s">
        <v>171</v>
      </c>
      <c r="H238" s="71" t="s">
        <v>172</v>
      </c>
    </row>
    <row r="239" spans="1:18" x14ac:dyDescent="0.2">
      <c r="A239" s="1" t="s">
        <v>137</v>
      </c>
      <c r="B239" s="1" t="s">
        <v>28</v>
      </c>
      <c r="C239" s="3" t="s">
        <v>14</v>
      </c>
      <c r="D239" s="2">
        <v>122</v>
      </c>
      <c r="E239" s="5">
        <v>22</v>
      </c>
      <c r="F239" s="4">
        <f t="shared" si="5"/>
        <v>0.18032786885245902</v>
      </c>
      <c r="G239" s="66" t="s">
        <v>171</v>
      </c>
      <c r="H239" s="71" t="s">
        <v>172</v>
      </c>
    </row>
    <row r="240" spans="1:18" x14ac:dyDescent="0.2">
      <c r="A240" s="1" t="s">
        <v>137</v>
      </c>
      <c r="B240" s="1" t="s">
        <v>68</v>
      </c>
      <c r="C240" s="3" t="s">
        <v>14</v>
      </c>
      <c r="D240" s="2">
        <v>108</v>
      </c>
      <c r="E240" s="5">
        <v>19</v>
      </c>
      <c r="F240" s="4">
        <f t="shared" si="5"/>
        <v>0.17592592592592593</v>
      </c>
      <c r="G240" s="66" t="s">
        <v>171</v>
      </c>
      <c r="H240" s="71" t="s">
        <v>172</v>
      </c>
    </row>
    <row r="241" spans="1:8" x14ac:dyDescent="0.2">
      <c r="A241" s="1" t="s">
        <v>137</v>
      </c>
      <c r="B241" s="1" t="s">
        <v>94</v>
      </c>
      <c r="C241" s="3" t="s">
        <v>14</v>
      </c>
      <c r="D241" s="2">
        <v>15</v>
      </c>
      <c r="E241" s="5">
        <v>2</v>
      </c>
      <c r="F241" s="4">
        <f t="shared" si="5"/>
        <v>0.13333333333333333</v>
      </c>
      <c r="G241" s="66" t="s">
        <v>171</v>
      </c>
      <c r="H241" s="71" t="s">
        <v>172</v>
      </c>
    </row>
    <row r="242" spans="1:8" x14ac:dyDescent="0.2">
      <c r="A242" s="1" t="s">
        <v>137</v>
      </c>
      <c r="B242" s="1" t="s">
        <v>26</v>
      </c>
      <c r="C242" s="3" t="s">
        <v>14</v>
      </c>
      <c r="D242" s="2">
        <v>65</v>
      </c>
      <c r="E242" s="5">
        <v>9</v>
      </c>
      <c r="F242" s="4">
        <f t="shared" si="5"/>
        <v>0.13846153846153847</v>
      </c>
      <c r="G242" s="66" t="s">
        <v>171</v>
      </c>
      <c r="H242" s="71" t="s">
        <v>172</v>
      </c>
    </row>
    <row r="243" spans="1:8" x14ac:dyDescent="0.2">
      <c r="A243" s="1" t="s">
        <v>137</v>
      </c>
      <c r="B243" s="1" t="s">
        <v>6</v>
      </c>
      <c r="C243" s="3" t="s">
        <v>14</v>
      </c>
      <c r="D243" s="2">
        <v>23</v>
      </c>
      <c r="E243" s="5">
        <v>3</v>
      </c>
      <c r="F243" s="4">
        <f t="shared" si="5"/>
        <v>0.13043478260869565</v>
      </c>
      <c r="G243" s="66" t="s">
        <v>171</v>
      </c>
      <c r="H243" s="71" t="s">
        <v>172</v>
      </c>
    </row>
    <row r="244" spans="1:8" x14ac:dyDescent="0.2">
      <c r="A244" s="1" t="s">
        <v>137</v>
      </c>
      <c r="B244" s="1" t="s">
        <v>27</v>
      </c>
      <c r="C244" s="3" t="s">
        <v>14</v>
      </c>
      <c r="D244" s="2">
        <v>133</v>
      </c>
      <c r="E244" s="5">
        <v>17</v>
      </c>
      <c r="F244" s="4">
        <f t="shared" si="5"/>
        <v>0.12781954887218044</v>
      </c>
      <c r="G244" s="66" t="s">
        <v>171</v>
      </c>
      <c r="H244" s="71" t="s">
        <v>172</v>
      </c>
    </row>
    <row r="245" spans="1:8" x14ac:dyDescent="0.2">
      <c r="A245" s="1" t="s">
        <v>137</v>
      </c>
      <c r="B245" s="1" t="s">
        <v>63</v>
      </c>
      <c r="C245" s="3" t="s">
        <v>14</v>
      </c>
      <c r="D245" s="2">
        <v>10</v>
      </c>
      <c r="E245" s="5">
        <v>4</v>
      </c>
      <c r="F245" s="4">
        <f t="shared" si="5"/>
        <v>0.4</v>
      </c>
      <c r="G245" s="66" t="s">
        <v>171</v>
      </c>
      <c r="H245" s="71" t="s">
        <v>172</v>
      </c>
    </row>
    <row r="246" spans="1:8" x14ac:dyDescent="0.2">
      <c r="A246" s="1" t="s">
        <v>137</v>
      </c>
      <c r="B246" s="1" t="s">
        <v>17</v>
      </c>
      <c r="C246" s="3" t="s">
        <v>14</v>
      </c>
      <c r="D246" s="2">
        <v>19</v>
      </c>
      <c r="E246" s="5">
        <v>3</v>
      </c>
      <c r="F246" s="4">
        <f t="shared" si="5"/>
        <v>0.15789473684210525</v>
      </c>
      <c r="G246" s="66" t="s">
        <v>171</v>
      </c>
      <c r="H246" s="71" t="s">
        <v>172</v>
      </c>
    </row>
    <row r="247" spans="1:8" x14ac:dyDescent="0.2">
      <c r="A247" s="1" t="s">
        <v>137</v>
      </c>
      <c r="B247" s="1" t="s">
        <v>61</v>
      </c>
      <c r="C247" s="3" t="s">
        <v>14</v>
      </c>
      <c r="D247" s="2">
        <v>39</v>
      </c>
      <c r="E247" s="5">
        <v>5</v>
      </c>
      <c r="F247" s="4">
        <f t="shared" si="5"/>
        <v>0.12820512820512819</v>
      </c>
      <c r="G247" s="66" t="s">
        <v>171</v>
      </c>
      <c r="H247" s="71" t="s">
        <v>172</v>
      </c>
    </row>
    <row r="248" spans="1:8" x14ac:dyDescent="0.2">
      <c r="A248" s="1" t="s">
        <v>137</v>
      </c>
      <c r="B248" s="1" t="s">
        <v>91</v>
      </c>
      <c r="C248" s="3" t="s">
        <v>14</v>
      </c>
      <c r="D248" s="2">
        <v>203</v>
      </c>
      <c r="E248" s="5">
        <v>24</v>
      </c>
      <c r="F248" s="4">
        <f t="shared" si="5"/>
        <v>0.11822660098522167</v>
      </c>
      <c r="G248" s="66" t="s">
        <v>171</v>
      </c>
      <c r="H248" s="71" t="s">
        <v>172</v>
      </c>
    </row>
    <row r="249" spans="1:8" x14ac:dyDescent="0.2">
      <c r="A249" s="1" t="s">
        <v>137</v>
      </c>
      <c r="B249" s="36" t="s">
        <v>94</v>
      </c>
      <c r="C249" s="37" t="s">
        <v>11</v>
      </c>
      <c r="D249" s="38">
        <v>18</v>
      </c>
      <c r="E249" s="39">
        <v>15</v>
      </c>
      <c r="F249" s="54">
        <f t="shared" si="5"/>
        <v>0.83333333333333337</v>
      </c>
      <c r="G249" s="66" t="s">
        <v>171</v>
      </c>
      <c r="H249" s="71" t="s">
        <v>172</v>
      </c>
    </row>
    <row r="250" spans="1:8" x14ac:dyDescent="0.2">
      <c r="A250" s="1" t="s">
        <v>137</v>
      </c>
      <c r="B250" s="1" t="s">
        <v>24</v>
      </c>
      <c r="C250" s="3" t="s">
        <v>11</v>
      </c>
      <c r="D250" s="2">
        <v>14</v>
      </c>
      <c r="E250" s="5">
        <v>11</v>
      </c>
      <c r="F250" s="55">
        <f t="shared" si="5"/>
        <v>0.7857142857142857</v>
      </c>
      <c r="G250" s="66" t="s">
        <v>171</v>
      </c>
      <c r="H250" s="71" t="s">
        <v>172</v>
      </c>
    </row>
    <row r="251" spans="1:8" x14ac:dyDescent="0.2">
      <c r="A251" s="1" t="s">
        <v>137</v>
      </c>
      <c r="B251" s="1" t="s">
        <v>75</v>
      </c>
      <c r="C251" s="3" t="s">
        <v>11</v>
      </c>
      <c r="D251" s="2">
        <v>183</v>
      </c>
      <c r="E251" s="5">
        <v>100</v>
      </c>
      <c r="F251" s="4">
        <f t="shared" si="5"/>
        <v>0.54644808743169404</v>
      </c>
      <c r="G251" s="66" t="s">
        <v>171</v>
      </c>
      <c r="H251" s="71" t="s">
        <v>172</v>
      </c>
    </row>
    <row r="252" spans="1:8" x14ac:dyDescent="0.2">
      <c r="A252" s="1" t="s">
        <v>137</v>
      </c>
      <c r="B252" s="1" t="s">
        <v>18</v>
      </c>
      <c r="C252" s="3" t="s">
        <v>11</v>
      </c>
      <c r="D252" s="2">
        <v>54</v>
      </c>
      <c r="E252" s="5">
        <v>23</v>
      </c>
      <c r="F252" s="4">
        <f t="shared" ref="F252:F312" si="6">E252/D252</f>
        <v>0.42592592592592593</v>
      </c>
      <c r="G252" s="66" t="s">
        <v>171</v>
      </c>
      <c r="H252" s="71" t="s">
        <v>172</v>
      </c>
    </row>
    <row r="253" spans="1:8" x14ac:dyDescent="0.2">
      <c r="A253" s="1" t="s">
        <v>137</v>
      </c>
      <c r="B253" s="1" t="s">
        <v>59</v>
      </c>
      <c r="C253" s="3" t="s">
        <v>11</v>
      </c>
      <c r="D253" s="2">
        <v>83</v>
      </c>
      <c r="E253" s="5">
        <v>28</v>
      </c>
      <c r="F253" s="4">
        <f t="shared" si="6"/>
        <v>0.33734939759036142</v>
      </c>
      <c r="G253" s="66" t="s">
        <v>171</v>
      </c>
      <c r="H253" s="71" t="s">
        <v>172</v>
      </c>
    </row>
    <row r="254" spans="1:8" x14ac:dyDescent="0.2">
      <c r="A254" s="1" t="s">
        <v>137</v>
      </c>
      <c r="B254" s="1" t="s">
        <v>67</v>
      </c>
      <c r="C254" s="3" t="s">
        <v>11</v>
      </c>
      <c r="D254" s="2">
        <v>133</v>
      </c>
      <c r="E254" s="5">
        <v>49</v>
      </c>
      <c r="F254" s="4">
        <f t="shared" si="6"/>
        <v>0.36842105263157893</v>
      </c>
      <c r="G254" s="66" t="s">
        <v>171</v>
      </c>
      <c r="H254" s="71" t="s">
        <v>172</v>
      </c>
    </row>
    <row r="255" spans="1:8" x14ac:dyDescent="0.2">
      <c r="A255" s="1" t="s">
        <v>137</v>
      </c>
      <c r="B255" s="1" t="s">
        <v>92</v>
      </c>
      <c r="C255" s="3" t="s">
        <v>11</v>
      </c>
      <c r="D255" s="2">
        <v>82</v>
      </c>
      <c r="E255" s="5">
        <v>30</v>
      </c>
      <c r="F255" s="4">
        <f t="shared" si="6"/>
        <v>0.36585365853658536</v>
      </c>
      <c r="G255" s="66" t="s">
        <v>171</v>
      </c>
      <c r="H255" s="71" t="s">
        <v>172</v>
      </c>
    </row>
    <row r="256" spans="1:8" x14ac:dyDescent="0.2">
      <c r="A256" s="1" t="s">
        <v>137</v>
      </c>
      <c r="B256" s="1" t="s">
        <v>50</v>
      </c>
      <c r="C256" s="3" t="s">
        <v>11</v>
      </c>
      <c r="D256" s="2">
        <v>44</v>
      </c>
      <c r="E256" s="5">
        <v>11</v>
      </c>
      <c r="F256" s="4">
        <f t="shared" si="6"/>
        <v>0.25</v>
      </c>
      <c r="G256" s="66" t="s">
        <v>171</v>
      </c>
      <c r="H256" s="71" t="s">
        <v>172</v>
      </c>
    </row>
    <row r="257" spans="1:8" x14ac:dyDescent="0.2">
      <c r="A257" s="1" t="s">
        <v>137</v>
      </c>
      <c r="B257" s="1" t="s">
        <v>6</v>
      </c>
      <c r="C257" s="3" t="s">
        <v>11</v>
      </c>
      <c r="D257" s="2">
        <v>29</v>
      </c>
      <c r="E257" s="5">
        <v>5</v>
      </c>
      <c r="F257" s="4">
        <f t="shared" si="6"/>
        <v>0.17241379310344829</v>
      </c>
      <c r="G257" s="66" t="s">
        <v>171</v>
      </c>
      <c r="H257" s="71" t="s">
        <v>172</v>
      </c>
    </row>
    <row r="258" spans="1:8" x14ac:dyDescent="0.2">
      <c r="A258" s="1" t="s">
        <v>137</v>
      </c>
      <c r="B258" s="1" t="s">
        <v>61</v>
      </c>
      <c r="C258" s="3" t="s">
        <v>11</v>
      </c>
      <c r="D258" s="2">
        <v>62</v>
      </c>
      <c r="E258" s="5">
        <v>26</v>
      </c>
      <c r="F258" s="4">
        <f t="shared" si="6"/>
        <v>0.41935483870967744</v>
      </c>
      <c r="G258" s="66" t="s">
        <v>171</v>
      </c>
      <c r="H258" s="71" t="s">
        <v>172</v>
      </c>
    </row>
    <row r="259" spans="1:8" x14ac:dyDescent="0.2">
      <c r="A259" s="1" t="s">
        <v>137</v>
      </c>
      <c r="B259" s="1" t="s">
        <v>91</v>
      </c>
      <c r="C259" s="3" t="s">
        <v>11</v>
      </c>
      <c r="D259" s="2">
        <v>47</v>
      </c>
      <c r="E259" s="5">
        <v>6</v>
      </c>
      <c r="F259" s="4">
        <f t="shared" si="6"/>
        <v>0.1276595744680851</v>
      </c>
      <c r="G259" s="66" t="s">
        <v>171</v>
      </c>
      <c r="H259" s="71" t="s">
        <v>172</v>
      </c>
    </row>
    <row r="260" spans="1:8" x14ac:dyDescent="0.2">
      <c r="A260" s="1" t="s">
        <v>137</v>
      </c>
      <c r="B260" s="36" t="s">
        <v>23</v>
      </c>
      <c r="C260" s="37" t="s">
        <v>13</v>
      </c>
      <c r="D260" s="38">
        <v>1038</v>
      </c>
      <c r="E260" s="39">
        <v>436</v>
      </c>
      <c r="F260" s="54">
        <f t="shared" si="6"/>
        <v>0.42003853564547206</v>
      </c>
      <c r="G260" s="66" t="s">
        <v>171</v>
      </c>
      <c r="H260" s="71" t="s">
        <v>172</v>
      </c>
    </row>
    <row r="261" spans="1:8" x14ac:dyDescent="0.2">
      <c r="A261" s="1" t="s">
        <v>137</v>
      </c>
      <c r="B261" s="1" t="s">
        <v>24</v>
      </c>
      <c r="C261" s="3" t="s">
        <v>13</v>
      </c>
      <c r="D261" s="2">
        <v>77</v>
      </c>
      <c r="E261" s="5">
        <v>30</v>
      </c>
      <c r="F261" s="4">
        <f t="shared" si="6"/>
        <v>0.38961038961038963</v>
      </c>
      <c r="G261" s="66" t="s">
        <v>171</v>
      </c>
      <c r="H261" s="71" t="s">
        <v>172</v>
      </c>
    </row>
    <row r="262" spans="1:8" x14ac:dyDescent="0.2">
      <c r="A262" s="1" t="s">
        <v>137</v>
      </c>
      <c r="B262" s="1" t="s">
        <v>75</v>
      </c>
      <c r="C262" s="3" t="s">
        <v>13</v>
      </c>
      <c r="D262" s="2">
        <v>199</v>
      </c>
      <c r="E262" s="5">
        <v>60</v>
      </c>
      <c r="F262" s="4">
        <f t="shared" si="6"/>
        <v>0.30150753768844218</v>
      </c>
      <c r="G262" s="66" t="s">
        <v>171</v>
      </c>
      <c r="H262" s="71" t="s">
        <v>172</v>
      </c>
    </row>
    <row r="263" spans="1:8" x14ac:dyDescent="0.2">
      <c r="A263" s="1" t="s">
        <v>137</v>
      </c>
      <c r="B263" s="1" t="s">
        <v>18</v>
      </c>
      <c r="C263" s="3" t="s">
        <v>13</v>
      </c>
      <c r="D263" s="2">
        <v>431</v>
      </c>
      <c r="E263" s="5">
        <v>112</v>
      </c>
      <c r="F263" s="4">
        <f t="shared" si="6"/>
        <v>0.25986078886310904</v>
      </c>
      <c r="G263" s="66" t="s">
        <v>171</v>
      </c>
      <c r="H263" s="71" t="s">
        <v>172</v>
      </c>
    </row>
    <row r="264" spans="1:8" x14ac:dyDescent="0.2">
      <c r="A264" s="1" t="s">
        <v>137</v>
      </c>
      <c r="B264" s="1" t="s">
        <v>25</v>
      </c>
      <c r="C264" s="3" t="s">
        <v>13</v>
      </c>
      <c r="D264" s="2">
        <v>146</v>
      </c>
      <c r="E264" s="5">
        <v>39</v>
      </c>
      <c r="F264" s="4">
        <f t="shared" si="6"/>
        <v>0.26712328767123289</v>
      </c>
      <c r="G264" s="66" t="s">
        <v>171</v>
      </c>
      <c r="H264" s="71" t="s">
        <v>172</v>
      </c>
    </row>
    <row r="265" spans="1:8" x14ac:dyDescent="0.2">
      <c r="A265" s="1" t="s">
        <v>137</v>
      </c>
      <c r="B265" s="1" t="s">
        <v>20</v>
      </c>
      <c r="C265" s="3" t="s">
        <v>13</v>
      </c>
      <c r="D265" s="2">
        <v>18</v>
      </c>
      <c r="E265" s="5">
        <v>7</v>
      </c>
      <c r="F265" s="4">
        <f t="shared" si="6"/>
        <v>0.3888888888888889</v>
      </c>
      <c r="G265" s="66" t="s">
        <v>171</v>
      </c>
      <c r="H265" s="71" t="s">
        <v>172</v>
      </c>
    </row>
    <row r="266" spans="1:8" x14ac:dyDescent="0.2">
      <c r="A266" s="1" t="s">
        <v>137</v>
      </c>
      <c r="B266" s="1" t="s">
        <v>6</v>
      </c>
      <c r="C266" s="3" t="s">
        <v>13</v>
      </c>
      <c r="D266" s="2">
        <v>95</v>
      </c>
      <c r="E266" s="5">
        <v>15</v>
      </c>
      <c r="F266" s="4">
        <f t="shared" si="6"/>
        <v>0.15789473684210525</v>
      </c>
      <c r="G266" s="66" t="s">
        <v>171</v>
      </c>
      <c r="H266" s="71" t="s">
        <v>172</v>
      </c>
    </row>
    <row r="267" spans="1:8" x14ac:dyDescent="0.2">
      <c r="A267" s="1" t="s">
        <v>137</v>
      </c>
      <c r="B267" s="1" t="s">
        <v>49</v>
      </c>
      <c r="C267" s="3" t="s">
        <v>13</v>
      </c>
      <c r="D267" s="2">
        <v>34</v>
      </c>
      <c r="E267" s="5">
        <v>5</v>
      </c>
      <c r="F267" s="4">
        <f t="shared" si="6"/>
        <v>0.14705882352941177</v>
      </c>
      <c r="G267" s="66" t="s">
        <v>171</v>
      </c>
      <c r="H267" s="71" t="s">
        <v>172</v>
      </c>
    </row>
    <row r="268" spans="1:8" x14ac:dyDescent="0.2">
      <c r="A268" s="1" t="s">
        <v>137</v>
      </c>
      <c r="B268" s="1" t="s">
        <v>28</v>
      </c>
      <c r="C268" s="3" t="s">
        <v>13</v>
      </c>
      <c r="D268" s="2">
        <v>25</v>
      </c>
      <c r="E268" s="5">
        <v>4</v>
      </c>
      <c r="F268" s="4">
        <f t="shared" si="6"/>
        <v>0.16</v>
      </c>
      <c r="G268" s="66" t="s">
        <v>171</v>
      </c>
      <c r="H268" s="71" t="s">
        <v>172</v>
      </c>
    </row>
    <row r="269" spans="1:8" x14ac:dyDescent="0.2">
      <c r="A269" s="1" t="s">
        <v>137</v>
      </c>
      <c r="B269" s="1" t="s">
        <v>55</v>
      </c>
      <c r="C269" s="3" t="s">
        <v>13</v>
      </c>
      <c r="D269" s="2">
        <v>45</v>
      </c>
      <c r="E269" s="5">
        <v>5</v>
      </c>
      <c r="F269" s="4">
        <f t="shared" si="6"/>
        <v>0.1111111111111111</v>
      </c>
      <c r="G269" s="66" t="s">
        <v>171</v>
      </c>
      <c r="H269" s="71" t="s">
        <v>172</v>
      </c>
    </row>
    <row r="270" spans="1:8" x14ac:dyDescent="0.2">
      <c r="A270" s="1" t="s">
        <v>137</v>
      </c>
      <c r="B270" s="1" t="s">
        <v>68</v>
      </c>
      <c r="C270" s="3" t="s">
        <v>13</v>
      </c>
      <c r="D270" s="2">
        <v>43</v>
      </c>
      <c r="E270" s="5">
        <v>5</v>
      </c>
      <c r="F270" s="4">
        <f t="shared" si="6"/>
        <v>0.11627906976744186</v>
      </c>
      <c r="G270" s="66" t="s">
        <v>171</v>
      </c>
      <c r="H270" s="71" t="s">
        <v>172</v>
      </c>
    </row>
    <row r="271" spans="1:8" x14ac:dyDescent="0.2">
      <c r="A271" s="1" t="s">
        <v>137</v>
      </c>
      <c r="B271" s="1" t="s">
        <v>61</v>
      </c>
      <c r="C271" s="3" t="s">
        <v>13</v>
      </c>
      <c r="D271" s="2">
        <v>59</v>
      </c>
      <c r="E271" s="5">
        <v>16</v>
      </c>
      <c r="F271" s="4">
        <f t="shared" si="6"/>
        <v>0.2711864406779661</v>
      </c>
      <c r="G271" s="66" t="s">
        <v>171</v>
      </c>
      <c r="H271" s="71" t="s">
        <v>172</v>
      </c>
    </row>
    <row r="272" spans="1:8" x14ac:dyDescent="0.2">
      <c r="A272" s="1" t="s">
        <v>137</v>
      </c>
      <c r="B272" s="1" t="s">
        <v>91</v>
      </c>
      <c r="C272" s="3" t="s">
        <v>13</v>
      </c>
      <c r="D272" s="2">
        <v>41</v>
      </c>
      <c r="E272" s="5">
        <v>6</v>
      </c>
      <c r="F272" s="4">
        <f t="shared" si="6"/>
        <v>0.14634146341463414</v>
      </c>
      <c r="G272" s="66" t="s">
        <v>171</v>
      </c>
      <c r="H272" s="71" t="s">
        <v>172</v>
      </c>
    </row>
    <row r="273" spans="1:8" x14ac:dyDescent="0.2">
      <c r="A273" s="1" t="s">
        <v>137</v>
      </c>
      <c r="B273" s="36" t="s">
        <v>75</v>
      </c>
      <c r="C273" s="37" t="s">
        <v>37</v>
      </c>
      <c r="D273" s="38">
        <v>57</v>
      </c>
      <c r="E273" s="39">
        <v>21</v>
      </c>
      <c r="F273" s="54">
        <f t="shared" si="6"/>
        <v>0.36842105263157893</v>
      </c>
      <c r="G273" s="66" t="s">
        <v>171</v>
      </c>
      <c r="H273" s="71" t="s">
        <v>172</v>
      </c>
    </row>
    <row r="274" spans="1:8" x14ac:dyDescent="0.2">
      <c r="A274" s="1" t="s">
        <v>137</v>
      </c>
      <c r="B274" s="1" t="s">
        <v>49</v>
      </c>
      <c r="C274" s="3" t="s">
        <v>37</v>
      </c>
      <c r="D274" s="2">
        <v>44</v>
      </c>
      <c r="E274" s="5">
        <v>11</v>
      </c>
      <c r="F274" s="55">
        <f t="shared" si="6"/>
        <v>0.25</v>
      </c>
      <c r="G274" s="66" t="s">
        <v>171</v>
      </c>
      <c r="H274" s="71" t="s">
        <v>172</v>
      </c>
    </row>
    <row r="275" spans="1:8" x14ac:dyDescent="0.2">
      <c r="A275" s="1" t="s">
        <v>137</v>
      </c>
      <c r="B275" s="1" t="s">
        <v>25</v>
      </c>
      <c r="C275" s="3" t="s">
        <v>37</v>
      </c>
      <c r="D275" s="2">
        <v>49</v>
      </c>
      <c r="E275" s="5">
        <v>11</v>
      </c>
      <c r="F275" s="55">
        <f t="shared" si="6"/>
        <v>0.22448979591836735</v>
      </c>
      <c r="G275" s="66" t="s">
        <v>171</v>
      </c>
      <c r="H275" s="71" t="s">
        <v>172</v>
      </c>
    </row>
    <row r="276" spans="1:8" x14ac:dyDescent="0.2">
      <c r="A276" s="1" t="s">
        <v>137</v>
      </c>
      <c r="B276" s="1" t="s">
        <v>6</v>
      </c>
      <c r="C276" s="3" t="s">
        <v>37</v>
      </c>
      <c r="D276" s="2">
        <v>28</v>
      </c>
      <c r="E276" s="5">
        <v>5</v>
      </c>
      <c r="F276" s="55">
        <f t="shared" si="6"/>
        <v>0.17857142857142858</v>
      </c>
      <c r="G276" s="66" t="s">
        <v>171</v>
      </c>
      <c r="H276" s="71" t="s">
        <v>172</v>
      </c>
    </row>
    <row r="277" spans="1:8" x14ac:dyDescent="0.2">
      <c r="A277" s="1" t="s">
        <v>137</v>
      </c>
      <c r="B277" s="1" t="s">
        <v>23</v>
      </c>
      <c r="C277" s="3" t="s">
        <v>37</v>
      </c>
      <c r="D277" s="2">
        <v>77</v>
      </c>
      <c r="E277" s="5">
        <v>12</v>
      </c>
      <c r="F277" s="55">
        <f t="shared" si="6"/>
        <v>0.15584415584415584</v>
      </c>
      <c r="G277" s="66" t="s">
        <v>171</v>
      </c>
      <c r="H277" s="71" t="s">
        <v>172</v>
      </c>
    </row>
    <row r="278" spans="1:8" x14ac:dyDescent="0.2">
      <c r="A278" s="1" t="s">
        <v>137</v>
      </c>
      <c r="B278" s="1" t="s">
        <v>24</v>
      </c>
      <c r="C278" s="3" t="s">
        <v>37</v>
      </c>
      <c r="D278" s="2">
        <v>188</v>
      </c>
      <c r="E278" s="5">
        <v>28</v>
      </c>
      <c r="F278" s="55">
        <f t="shared" si="6"/>
        <v>0.14893617021276595</v>
      </c>
      <c r="G278" s="66" t="s">
        <v>171</v>
      </c>
      <c r="H278" s="71" t="s">
        <v>172</v>
      </c>
    </row>
    <row r="279" spans="1:8" x14ac:dyDescent="0.2">
      <c r="A279" s="1" t="s">
        <v>137</v>
      </c>
      <c r="B279" s="1" t="s">
        <v>18</v>
      </c>
      <c r="C279" s="3" t="s">
        <v>37</v>
      </c>
      <c r="D279" s="2">
        <v>172</v>
      </c>
      <c r="E279" s="5">
        <v>17</v>
      </c>
      <c r="F279" s="55">
        <f t="shared" si="6"/>
        <v>9.8837209302325577E-2</v>
      </c>
      <c r="G279" s="66" t="s">
        <v>171</v>
      </c>
      <c r="H279" s="71" t="s">
        <v>172</v>
      </c>
    </row>
    <row r="280" spans="1:8" x14ac:dyDescent="0.2">
      <c r="A280" s="1" t="s">
        <v>137</v>
      </c>
      <c r="B280" s="42" t="s">
        <v>17</v>
      </c>
      <c r="C280" s="43" t="s">
        <v>37</v>
      </c>
      <c r="D280" s="44">
        <v>44</v>
      </c>
      <c r="E280" s="45">
        <v>10</v>
      </c>
      <c r="F280" s="56">
        <f t="shared" si="6"/>
        <v>0.22727272727272727</v>
      </c>
      <c r="G280" s="66" t="s">
        <v>171</v>
      </c>
      <c r="H280" s="71" t="s">
        <v>172</v>
      </c>
    </row>
    <row r="281" spans="1:8" x14ac:dyDescent="0.2">
      <c r="A281" s="1" t="s">
        <v>137</v>
      </c>
      <c r="B281" s="1" t="s">
        <v>61</v>
      </c>
      <c r="C281" s="3" t="s">
        <v>16</v>
      </c>
      <c r="D281" s="2">
        <v>135</v>
      </c>
      <c r="E281" s="5">
        <v>34</v>
      </c>
      <c r="F281" s="4">
        <f t="shared" si="6"/>
        <v>0.25185185185185183</v>
      </c>
      <c r="G281" s="66" t="s">
        <v>171</v>
      </c>
      <c r="H281" s="71" t="s">
        <v>172</v>
      </c>
    </row>
    <row r="282" spans="1:8" x14ac:dyDescent="0.2">
      <c r="A282" s="1" t="s">
        <v>137</v>
      </c>
      <c r="B282" s="1" t="s">
        <v>26</v>
      </c>
      <c r="C282" s="3" t="s">
        <v>16</v>
      </c>
      <c r="D282" s="2">
        <v>26</v>
      </c>
      <c r="E282" s="5">
        <v>3</v>
      </c>
      <c r="F282" s="4">
        <f t="shared" si="6"/>
        <v>0.11538461538461539</v>
      </c>
      <c r="G282" s="66" t="s">
        <v>171</v>
      </c>
      <c r="H282" s="71" t="s">
        <v>172</v>
      </c>
    </row>
    <row r="283" spans="1:8" x14ac:dyDescent="0.2">
      <c r="A283" s="1" t="s">
        <v>137</v>
      </c>
      <c r="B283" s="1" t="s">
        <v>68</v>
      </c>
      <c r="C283" s="3" t="s">
        <v>16</v>
      </c>
      <c r="D283" s="2">
        <v>79</v>
      </c>
      <c r="E283" s="5">
        <v>6</v>
      </c>
      <c r="F283" s="4">
        <f t="shared" si="6"/>
        <v>7.5949367088607597E-2</v>
      </c>
      <c r="G283" s="66" t="s">
        <v>171</v>
      </c>
      <c r="H283" s="71" t="s">
        <v>172</v>
      </c>
    </row>
    <row r="284" spans="1:8" x14ac:dyDescent="0.2">
      <c r="A284" s="1" t="s">
        <v>137</v>
      </c>
      <c r="B284" s="1" t="s">
        <v>25</v>
      </c>
      <c r="C284" s="3" t="s">
        <v>16</v>
      </c>
      <c r="D284" s="2">
        <v>51</v>
      </c>
      <c r="E284" s="5">
        <v>2</v>
      </c>
      <c r="F284" s="4">
        <f t="shared" si="6"/>
        <v>3.9215686274509803E-2</v>
      </c>
      <c r="G284" s="66" t="s">
        <v>171</v>
      </c>
      <c r="H284" s="71" t="s">
        <v>172</v>
      </c>
    </row>
    <row r="285" spans="1:8" x14ac:dyDescent="0.2">
      <c r="A285" s="1" t="s">
        <v>137</v>
      </c>
      <c r="B285" s="1" t="s">
        <v>20</v>
      </c>
      <c r="C285" s="3" t="s">
        <v>16</v>
      </c>
      <c r="D285" s="2">
        <v>45</v>
      </c>
      <c r="E285" s="5">
        <v>2</v>
      </c>
      <c r="F285" s="4">
        <f t="shared" si="6"/>
        <v>4.4444444444444446E-2</v>
      </c>
      <c r="G285" s="66" t="s">
        <v>171</v>
      </c>
      <c r="H285" s="71" t="s">
        <v>172</v>
      </c>
    </row>
    <row r="286" spans="1:8" x14ac:dyDescent="0.2">
      <c r="A286" s="1" t="s">
        <v>137</v>
      </c>
      <c r="B286" s="1" t="s">
        <v>91</v>
      </c>
      <c r="C286" s="3" t="s">
        <v>16</v>
      </c>
      <c r="D286" s="2">
        <v>46</v>
      </c>
      <c r="E286" s="5">
        <v>2</v>
      </c>
      <c r="F286" s="4">
        <f t="shared" si="6"/>
        <v>4.3478260869565216E-2</v>
      </c>
      <c r="G286" s="66" t="s">
        <v>171</v>
      </c>
      <c r="H286" s="71" t="s">
        <v>172</v>
      </c>
    </row>
    <row r="287" spans="1:8" x14ac:dyDescent="0.2">
      <c r="A287" s="1" t="s">
        <v>137</v>
      </c>
      <c r="B287" s="1" t="s">
        <v>92</v>
      </c>
      <c r="C287" s="3" t="s">
        <v>16</v>
      </c>
      <c r="D287" s="2">
        <v>105</v>
      </c>
      <c r="E287" s="5">
        <v>3</v>
      </c>
      <c r="F287" s="4">
        <f t="shared" si="6"/>
        <v>2.8571428571428571E-2</v>
      </c>
      <c r="G287" s="66" t="s">
        <v>171</v>
      </c>
      <c r="H287" s="71" t="s">
        <v>172</v>
      </c>
    </row>
    <row r="288" spans="1:8" x14ac:dyDescent="0.2">
      <c r="A288" s="1" t="s">
        <v>137</v>
      </c>
      <c r="B288" s="36" t="s">
        <v>106</v>
      </c>
      <c r="C288" s="37" t="s">
        <v>9</v>
      </c>
      <c r="D288" s="38">
        <v>144</v>
      </c>
      <c r="E288" s="39">
        <v>93</v>
      </c>
      <c r="F288" s="54">
        <f t="shared" si="6"/>
        <v>0.64583333333333337</v>
      </c>
      <c r="G288" s="66" t="s">
        <v>171</v>
      </c>
      <c r="H288" s="71" t="s">
        <v>172</v>
      </c>
    </row>
    <row r="289" spans="1:8" x14ac:dyDescent="0.2">
      <c r="A289" s="1" t="s">
        <v>137</v>
      </c>
      <c r="B289" s="1" t="s">
        <v>49</v>
      </c>
      <c r="C289" s="3" t="s">
        <v>9</v>
      </c>
      <c r="D289" s="2">
        <v>280</v>
      </c>
      <c r="E289" s="5">
        <v>140</v>
      </c>
      <c r="F289" s="55">
        <f t="shared" si="6"/>
        <v>0.5</v>
      </c>
      <c r="G289" s="66" t="s">
        <v>171</v>
      </c>
      <c r="H289" s="71" t="s">
        <v>172</v>
      </c>
    </row>
    <row r="290" spans="1:8" x14ac:dyDescent="0.2">
      <c r="A290" s="1" t="s">
        <v>137</v>
      </c>
      <c r="B290" s="1" t="s">
        <v>50</v>
      </c>
      <c r="C290" s="3" t="s">
        <v>9</v>
      </c>
      <c r="D290" s="2">
        <v>494</v>
      </c>
      <c r="E290" s="5">
        <v>232</v>
      </c>
      <c r="F290" s="55">
        <f t="shared" si="6"/>
        <v>0.46963562753036436</v>
      </c>
      <c r="G290" s="66" t="s">
        <v>171</v>
      </c>
      <c r="H290" s="71" t="s">
        <v>172</v>
      </c>
    </row>
    <row r="291" spans="1:8" x14ac:dyDescent="0.2">
      <c r="A291" s="1" t="s">
        <v>137</v>
      </c>
      <c r="B291" s="1" t="s">
        <v>24</v>
      </c>
      <c r="C291" s="3" t="s">
        <v>9</v>
      </c>
      <c r="D291" s="2">
        <v>230</v>
      </c>
      <c r="E291" s="5">
        <v>99</v>
      </c>
      <c r="F291" s="55">
        <f t="shared" si="6"/>
        <v>0.43043478260869567</v>
      </c>
      <c r="G291" s="66" t="s">
        <v>171</v>
      </c>
      <c r="H291" s="71" t="s">
        <v>172</v>
      </c>
    </row>
    <row r="292" spans="1:8" x14ac:dyDescent="0.2">
      <c r="A292" s="1" t="s">
        <v>137</v>
      </c>
      <c r="B292" s="1" t="s">
        <v>75</v>
      </c>
      <c r="C292" s="3" t="s">
        <v>9</v>
      </c>
      <c r="D292" s="2">
        <v>253</v>
      </c>
      <c r="E292" s="5">
        <v>94</v>
      </c>
      <c r="F292" s="55">
        <f t="shared" si="6"/>
        <v>0.3715415019762846</v>
      </c>
      <c r="G292" s="66" t="s">
        <v>171</v>
      </c>
      <c r="H292" s="71" t="s">
        <v>172</v>
      </c>
    </row>
    <row r="293" spans="1:8" x14ac:dyDescent="0.2">
      <c r="A293" s="1" t="s">
        <v>137</v>
      </c>
      <c r="B293" s="1" t="s">
        <v>6</v>
      </c>
      <c r="C293" s="3" t="s">
        <v>9</v>
      </c>
      <c r="D293" s="2">
        <v>51</v>
      </c>
      <c r="E293" s="5">
        <v>17</v>
      </c>
      <c r="F293" s="55">
        <f t="shared" si="6"/>
        <v>0.33333333333333331</v>
      </c>
      <c r="G293" s="66" t="s">
        <v>171</v>
      </c>
      <c r="H293" s="71" t="s">
        <v>172</v>
      </c>
    </row>
    <row r="294" spans="1:8" x14ac:dyDescent="0.2">
      <c r="A294" s="1" t="s">
        <v>137</v>
      </c>
      <c r="B294" s="1" t="s">
        <v>25</v>
      </c>
      <c r="C294" s="3" t="s">
        <v>9</v>
      </c>
      <c r="D294" s="2">
        <v>102</v>
      </c>
      <c r="E294" s="5">
        <v>33</v>
      </c>
      <c r="F294" s="55">
        <f t="shared" si="6"/>
        <v>0.3235294117647059</v>
      </c>
      <c r="G294" s="66" t="s">
        <v>171</v>
      </c>
      <c r="H294" s="71" t="s">
        <v>172</v>
      </c>
    </row>
    <row r="295" spans="1:8" x14ac:dyDescent="0.2">
      <c r="A295" s="1" t="s">
        <v>137</v>
      </c>
      <c r="B295" s="1" t="s">
        <v>23</v>
      </c>
      <c r="C295" s="3" t="s">
        <v>9</v>
      </c>
      <c r="D295" s="2">
        <v>16</v>
      </c>
      <c r="E295" s="5">
        <v>4</v>
      </c>
      <c r="F295" s="55">
        <f t="shared" si="6"/>
        <v>0.25</v>
      </c>
      <c r="G295" s="66" t="s">
        <v>171</v>
      </c>
      <c r="H295" s="71" t="s">
        <v>172</v>
      </c>
    </row>
    <row r="296" spans="1:8" x14ac:dyDescent="0.2">
      <c r="A296" s="1" t="s">
        <v>137</v>
      </c>
      <c r="B296" s="1" t="s">
        <v>17</v>
      </c>
      <c r="C296" s="3" t="s">
        <v>9</v>
      </c>
      <c r="D296" s="2">
        <v>17</v>
      </c>
      <c r="E296" s="5">
        <v>1</v>
      </c>
      <c r="F296" s="55">
        <f t="shared" si="6"/>
        <v>5.8823529411764705E-2</v>
      </c>
      <c r="G296" s="66" t="s">
        <v>171</v>
      </c>
      <c r="H296" s="71" t="s">
        <v>172</v>
      </c>
    </row>
    <row r="297" spans="1:8" x14ac:dyDescent="0.2">
      <c r="A297" s="1" t="s">
        <v>137</v>
      </c>
      <c r="B297" s="1" t="s">
        <v>61</v>
      </c>
      <c r="C297" s="3" t="s">
        <v>9</v>
      </c>
      <c r="D297" s="2">
        <v>16</v>
      </c>
      <c r="E297" s="5">
        <v>2</v>
      </c>
      <c r="F297" s="55">
        <f t="shared" si="6"/>
        <v>0.125</v>
      </c>
      <c r="G297" s="66" t="s">
        <v>171</v>
      </c>
      <c r="H297" s="71" t="s">
        <v>172</v>
      </c>
    </row>
    <row r="298" spans="1:8" x14ac:dyDescent="0.2">
      <c r="A298" s="1" t="s">
        <v>137</v>
      </c>
      <c r="B298" s="42" t="s">
        <v>91</v>
      </c>
      <c r="C298" s="43" t="s">
        <v>9</v>
      </c>
      <c r="D298" s="44">
        <v>16</v>
      </c>
      <c r="E298" s="45">
        <v>3</v>
      </c>
      <c r="F298" s="56">
        <f t="shared" si="6"/>
        <v>0.1875</v>
      </c>
      <c r="G298" s="66" t="s">
        <v>171</v>
      </c>
      <c r="H298" s="71" t="s">
        <v>172</v>
      </c>
    </row>
    <row r="299" spans="1:8" x14ac:dyDescent="0.2">
      <c r="A299" s="1" t="s">
        <v>137</v>
      </c>
      <c r="B299" s="1" t="s">
        <v>25</v>
      </c>
      <c r="C299" s="3" t="s">
        <v>8</v>
      </c>
      <c r="D299" s="2">
        <v>1270</v>
      </c>
      <c r="E299" s="5">
        <v>305</v>
      </c>
      <c r="F299" s="4">
        <f t="shared" si="6"/>
        <v>0.24015748031496062</v>
      </c>
      <c r="G299" s="66" t="s">
        <v>171</v>
      </c>
      <c r="H299" s="71" t="s">
        <v>172</v>
      </c>
    </row>
    <row r="300" spans="1:8" x14ac:dyDescent="0.2">
      <c r="A300" s="1" t="s">
        <v>137</v>
      </c>
      <c r="B300" s="1" t="s">
        <v>24</v>
      </c>
      <c r="C300" s="3" t="s">
        <v>8</v>
      </c>
      <c r="D300" s="2">
        <v>75</v>
      </c>
      <c r="E300" s="5">
        <v>15</v>
      </c>
      <c r="F300" s="4">
        <f t="shared" si="6"/>
        <v>0.2</v>
      </c>
      <c r="G300" s="66" t="s">
        <v>171</v>
      </c>
      <c r="H300" s="71" t="s">
        <v>172</v>
      </c>
    </row>
    <row r="301" spans="1:8" x14ac:dyDescent="0.2">
      <c r="A301" s="1" t="s">
        <v>137</v>
      </c>
      <c r="B301" s="1" t="s">
        <v>26</v>
      </c>
      <c r="C301" s="3" t="s">
        <v>8</v>
      </c>
      <c r="D301" s="2">
        <v>140</v>
      </c>
      <c r="E301" s="5">
        <v>28</v>
      </c>
      <c r="F301" s="4">
        <f t="shared" si="6"/>
        <v>0.2</v>
      </c>
      <c r="G301" s="66" t="s">
        <v>171</v>
      </c>
      <c r="H301" s="71" t="s">
        <v>172</v>
      </c>
    </row>
    <row r="302" spans="1:8" x14ac:dyDescent="0.2">
      <c r="A302" s="1" t="s">
        <v>137</v>
      </c>
      <c r="B302" s="1" t="s">
        <v>50</v>
      </c>
      <c r="C302" s="3" t="s">
        <v>8</v>
      </c>
      <c r="D302" s="2">
        <v>110</v>
      </c>
      <c r="E302" s="5">
        <v>19</v>
      </c>
      <c r="F302" s="4">
        <f t="shared" si="6"/>
        <v>0.17272727272727273</v>
      </c>
      <c r="G302" s="66" t="s">
        <v>171</v>
      </c>
      <c r="H302" s="71" t="s">
        <v>172</v>
      </c>
    </row>
    <row r="303" spans="1:8" x14ac:dyDescent="0.2">
      <c r="A303" s="1" t="s">
        <v>137</v>
      </c>
      <c r="B303" s="1" t="s">
        <v>23</v>
      </c>
      <c r="C303" s="3" t="s">
        <v>8</v>
      </c>
      <c r="D303" s="2">
        <v>111</v>
      </c>
      <c r="E303" s="5">
        <v>19</v>
      </c>
      <c r="F303" s="4">
        <f t="shared" si="6"/>
        <v>0.17117117117117117</v>
      </c>
      <c r="G303" s="66" t="s">
        <v>171</v>
      </c>
      <c r="H303" s="71" t="s">
        <v>172</v>
      </c>
    </row>
    <row r="304" spans="1:8" x14ac:dyDescent="0.2">
      <c r="A304" s="1" t="s">
        <v>137</v>
      </c>
      <c r="B304" s="1" t="s">
        <v>28</v>
      </c>
      <c r="C304" s="3" t="s">
        <v>8</v>
      </c>
      <c r="D304" s="2">
        <v>104</v>
      </c>
      <c r="E304" s="5">
        <v>16</v>
      </c>
      <c r="F304" s="4">
        <f t="shared" si="6"/>
        <v>0.15384615384615385</v>
      </c>
      <c r="G304" s="66" t="s">
        <v>171</v>
      </c>
      <c r="H304" s="71" t="s">
        <v>172</v>
      </c>
    </row>
    <row r="305" spans="1:8" x14ac:dyDescent="0.2">
      <c r="A305" s="1" t="s">
        <v>137</v>
      </c>
      <c r="B305" s="1" t="s">
        <v>68</v>
      </c>
      <c r="C305" s="3" t="s">
        <v>8</v>
      </c>
      <c r="D305" s="2">
        <v>77</v>
      </c>
      <c r="E305" s="5">
        <v>11</v>
      </c>
      <c r="F305" s="4">
        <f t="shared" si="6"/>
        <v>0.14285714285714285</v>
      </c>
      <c r="G305" s="66" t="s">
        <v>171</v>
      </c>
      <c r="H305" s="71" t="s">
        <v>172</v>
      </c>
    </row>
    <row r="306" spans="1:8" x14ac:dyDescent="0.2">
      <c r="A306" s="1" t="s">
        <v>137</v>
      </c>
      <c r="B306" s="1" t="s">
        <v>59</v>
      </c>
      <c r="C306" s="3" t="s">
        <v>8</v>
      </c>
      <c r="D306" s="2">
        <v>48</v>
      </c>
      <c r="E306" s="5">
        <v>7</v>
      </c>
      <c r="F306" s="4">
        <f t="shared" si="6"/>
        <v>0.14583333333333334</v>
      </c>
      <c r="G306" s="66" t="s">
        <v>171</v>
      </c>
      <c r="H306" s="71" t="s">
        <v>172</v>
      </c>
    </row>
    <row r="307" spans="1:8" x14ac:dyDescent="0.2">
      <c r="A307" s="1" t="s">
        <v>137</v>
      </c>
      <c r="B307" s="1" t="s">
        <v>27</v>
      </c>
      <c r="C307" s="3" t="s">
        <v>8</v>
      </c>
      <c r="D307" s="2">
        <v>75</v>
      </c>
      <c r="E307" s="5">
        <v>7</v>
      </c>
      <c r="F307" s="4">
        <f t="shared" si="6"/>
        <v>9.3333333333333338E-2</v>
      </c>
      <c r="G307" s="66" t="s">
        <v>171</v>
      </c>
      <c r="H307" s="71" t="s">
        <v>172</v>
      </c>
    </row>
    <row r="308" spans="1:8" x14ac:dyDescent="0.2">
      <c r="A308" s="1" t="s">
        <v>137</v>
      </c>
      <c r="B308" s="1" t="s">
        <v>19</v>
      </c>
      <c r="C308" s="3" t="s">
        <v>8</v>
      </c>
      <c r="D308" s="2">
        <v>71</v>
      </c>
      <c r="E308" s="5">
        <v>8</v>
      </c>
      <c r="F308" s="4">
        <f t="shared" si="6"/>
        <v>0.11267605633802817</v>
      </c>
      <c r="G308" s="66" t="s">
        <v>171</v>
      </c>
      <c r="H308" s="71" t="s">
        <v>172</v>
      </c>
    </row>
    <row r="309" spans="1:8" x14ac:dyDescent="0.2">
      <c r="A309" s="1" t="s">
        <v>137</v>
      </c>
      <c r="B309" s="1" t="s">
        <v>20</v>
      </c>
      <c r="C309" s="3" t="s">
        <v>8</v>
      </c>
      <c r="D309" s="2">
        <v>151</v>
      </c>
      <c r="E309" s="5">
        <v>15</v>
      </c>
      <c r="F309" s="4">
        <f t="shared" si="6"/>
        <v>9.9337748344370855E-2</v>
      </c>
      <c r="G309" s="66" t="s">
        <v>171</v>
      </c>
      <c r="H309" s="71" t="s">
        <v>172</v>
      </c>
    </row>
    <row r="310" spans="1:8" x14ac:dyDescent="0.2">
      <c r="A310" s="1" t="s">
        <v>137</v>
      </c>
      <c r="B310" s="1" t="s">
        <v>6</v>
      </c>
      <c r="C310" s="3" t="s">
        <v>8</v>
      </c>
      <c r="D310" s="2">
        <v>92</v>
      </c>
      <c r="E310" s="5">
        <v>8</v>
      </c>
      <c r="F310" s="4">
        <f t="shared" si="6"/>
        <v>8.6956521739130432E-2</v>
      </c>
      <c r="G310" s="66" t="s">
        <v>171</v>
      </c>
      <c r="H310" s="71" t="s">
        <v>172</v>
      </c>
    </row>
    <row r="311" spans="1:8" x14ac:dyDescent="0.2">
      <c r="A311" s="1" t="s">
        <v>137</v>
      </c>
      <c r="B311" s="1" t="s">
        <v>17</v>
      </c>
      <c r="C311" s="3" t="s">
        <v>8</v>
      </c>
      <c r="D311" s="2">
        <v>26</v>
      </c>
      <c r="E311" s="5">
        <v>0</v>
      </c>
      <c r="F311" s="4">
        <f t="shared" si="6"/>
        <v>0</v>
      </c>
      <c r="G311" s="66" t="s">
        <v>171</v>
      </c>
      <c r="H311" s="71" t="s">
        <v>172</v>
      </c>
    </row>
    <row r="312" spans="1:8" x14ac:dyDescent="0.2">
      <c r="A312" s="1" t="s">
        <v>137</v>
      </c>
      <c r="B312" s="1" t="s">
        <v>61</v>
      </c>
      <c r="C312" s="3" t="s">
        <v>8</v>
      </c>
      <c r="D312" s="2">
        <v>71</v>
      </c>
      <c r="E312" s="5">
        <v>5</v>
      </c>
      <c r="F312" s="4">
        <f t="shared" si="6"/>
        <v>7.0422535211267609E-2</v>
      </c>
      <c r="G312" s="66" t="s">
        <v>171</v>
      </c>
      <c r="H312" s="71" t="s">
        <v>172</v>
      </c>
    </row>
    <row r="313" spans="1:8" x14ac:dyDescent="0.2">
      <c r="A313" s="1" t="s">
        <v>137</v>
      </c>
      <c r="B313" s="1" t="s">
        <v>91</v>
      </c>
      <c r="C313" s="3" t="s">
        <v>8</v>
      </c>
      <c r="D313" s="2">
        <v>85</v>
      </c>
      <c r="E313" s="5">
        <v>7</v>
      </c>
      <c r="F313" s="4">
        <f t="shared" ref="F313:F320" si="7">E313/D313</f>
        <v>8.2352941176470587E-2</v>
      </c>
      <c r="G313" s="66" t="s">
        <v>171</v>
      </c>
      <c r="H313" s="71" t="s">
        <v>172</v>
      </c>
    </row>
    <row r="314" spans="1:8" x14ac:dyDescent="0.2">
      <c r="A314" s="1" t="s">
        <v>137</v>
      </c>
      <c r="B314" s="36" t="s">
        <v>75</v>
      </c>
      <c r="C314" s="37" t="s">
        <v>57</v>
      </c>
      <c r="D314" s="38">
        <v>10</v>
      </c>
      <c r="E314" s="39">
        <v>4</v>
      </c>
      <c r="F314" s="54">
        <f t="shared" si="7"/>
        <v>0.4</v>
      </c>
      <c r="G314" s="66" t="s">
        <v>171</v>
      </c>
      <c r="H314" s="71" t="s">
        <v>172</v>
      </c>
    </row>
    <row r="315" spans="1:8" x14ac:dyDescent="0.2">
      <c r="A315" s="1" t="s">
        <v>137</v>
      </c>
      <c r="B315" s="1" t="s">
        <v>6</v>
      </c>
      <c r="C315" s="3" t="s">
        <v>57</v>
      </c>
      <c r="D315" s="2">
        <v>18</v>
      </c>
      <c r="E315" s="5">
        <v>6</v>
      </c>
      <c r="F315" s="55">
        <f t="shared" si="7"/>
        <v>0.33333333333333331</v>
      </c>
      <c r="G315" s="66" t="s">
        <v>171</v>
      </c>
      <c r="H315" s="71" t="s">
        <v>172</v>
      </c>
    </row>
    <row r="316" spans="1:8" x14ac:dyDescent="0.2">
      <c r="A316" s="1" t="s">
        <v>137</v>
      </c>
      <c r="B316" s="1" t="s">
        <v>92</v>
      </c>
      <c r="C316" s="3" t="s">
        <v>57</v>
      </c>
      <c r="D316" s="2">
        <v>9</v>
      </c>
      <c r="E316" s="5">
        <v>2</v>
      </c>
      <c r="F316" s="55">
        <f t="shared" si="7"/>
        <v>0.22222222222222221</v>
      </c>
      <c r="G316" s="66" t="s">
        <v>171</v>
      </c>
      <c r="H316" s="71" t="s">
        <v>172</v>
      </c>
    </row>
    <row r="317" spans="1:8" x14ac:dyDescent="0.2">
      <c r="A317" s="1" t="s">
        <v>137</v>
      </c>
      <c r="B317" s="1" t="s">
        <v>18</v>
      </c>
      <c r="C317" s="3" t="s">
        <v>57</v>
      </c>
      <c r="D317" s="2">
        <v>17</v>
      </c>
      <c r="E317" s="5">
        <v>3</v>
      </c>
      <c r="F317" s="55">
        <f t="shared" si="7"/>
        <v>0.17647058823529413</v>
      </c>
      <c r="G317" s="66" t="s">
        <v>171</v>
      </c>
      <c r="H317" s="71" t="s">
        <v>172</v>
      </c>
    </row>
    <row r="318" spans="1:8" x14ac:dyDescent="0.2">
      <c r="A318" s="1" t="s">
        <v>137</v>
      </c>
      <c r="B318" s="1" t="s">
        <v>27</v>
      </c>
      <c r="C318" s="3" t="s">
        <v>57</v>
      </c>
      <c r="D318" s="2">
        <v>19</v>
      </c>
      <c r="E318" s="5">
        <v>2</v>
      </c>
      <c r="F318" s="55">
        <f t="shared" si="7"/>
        <v>0.10526315789473684</v>
      </c>
      <c r="G318" s="66" t="s">
        <v>171</v>
      </c>
      <c r="H318" s="71" t="s">
        <v>172</v>
      </c>
    </row>
    <row r="319" spans="1:8" x14ac:dyDescent="0.2">
      <c r="A319" s="1" t="s">
        <v>137</v>
      </c>
      <c r="B319" s="42" t="s">
        <v>91</v>
      </c>
      <c r="C319" s="43" t="s">
        <v>57</v>
      </c>
      <c r="D319" s="44">
        <v>33</v>
      </c>
      <c r="E319" s="45">
        <v>5</v>
      </c>
      <c r="F319" s="56">
        <f t="shared" si="7"/>
        <v>0.15151515151515152</v>
      </c>
      <c r="G319" s="66" t="s">
        <v>171</v>
      </c>
      <c r="H319" s="71" t="s">
        <v>172</v>
      </c>
    </row>
    <row r="320" spans="1:8" x14ac:dyDescent="0.2">
      <c r="A320" s="1" t="s">
        <v>137</v>
      </c>
      <c r="B320" s="1" t="s">
        <v>91</v>
      </c>
      <c r="C320" s="3" t="s">
        <v>10</v>
      </c>
      <c r="D320" s="2">
        <v>68</v>
      </c>
      <c r="E320" s="5">
        <v>8</v>
      </c>
      <c r="F320" s="4">
        <f t="shared" si="7"/>
        <v>0.11764705882352941</v>
      </c>
      <c r="G320" s="66" t="s">
        <v>171</v>
      </c>
      <c r="H320" s="71" t="s">
        <v>172</v>
      </c>
    </row>
  </sheetData>
  <sortState xmlns:xlrd2="http://schemas.microsoft.com/office/spreadsheetml/2017/richdata2" ref="A2:I12">
    <sortCondition descending="1" ref="F2:F12"/>
  </sortState>
  <phoneticPr fontId="2" type="noConversion"/>
  <conditionalFormatting sqref="F1:F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D118-6BDC-8748-AA9A-0AC3A4417F53}">
  <dimension ref="A1:T272"/>
  <sheetViews>
    <sheetView zoomScale="110" zoomScaleNormal="110" workbookViewId="0">
      <selection activeCell="K11" sqref="K11"/>
    </sheetView>
  </sheetViews>
  <sheetFormatPr baseColWidth="10" defaultRowHeight="16" x14ac:dyDescent="0.2"/>
  <cols>
    <col min="1" max="1" width="23.5" style="1" customWidth="1"/>
    <col min="2" max="2" width="13.1640625" style="1" customWidth="1"/>
    <col min="3" max="3" width="8.1640625" style="3" customWidth="1"/>
    <col min="4" max="4" width="10.83203125" style="2" customWidth="1"/>
    <col min="5" max="5" width="8.1640625" style="5" customWidth="1"/>
    <col min="6" max="6" width="16.33203125" style="34" customWidth="1"/>
    <col min="7" max="7" width="10" style="66" customWidth="1"/>
    <col min="8" max="8" width="10.83203125" style="70"/>
    <col min="9" max="9" width="5.33203125" style="70" customWidth="1"/>
    <col min="10" max="10" width="10.83203125" style="70"/>
    <col min="11" max="20" width="10.83203125" style="71"/>
  </cols>
  <sheetData>
    <row r="1" spans="1:20" s="6" customFormat="1" ht="17" thickBot="1" x14ac:dyDescent="0.25">
      <c r="A1" s="8" t="s">
        <v>2</v>
      </c>
      <c r="B1" s="8" t="s">
        <v>7</v>
      </c>
      <c r="C1" s="7" t="s">
        <v>4</v>
      </c>
      <c r="D1" s="9" t="s">
        <v>5</v>
      </c>
      <c r="E1" s="7" t="s">
        <v>3</v>
      </c>
      <c r="F1" s="32" t="s">
        <v>0</v>
      </c>
      <c r="G1" s="65" t="s">
        <v>173</v>
      </c>
      <c r="H1" s="68"/>
      <c r="I1" s="68"/>
      <c r="J1" s="68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s="16" customFormat="1" x14ac:dyDescent="0.2">
      <c r="A2" s="11" t="s">
        <v>65</v>
      </c>
      <c r="B2" s="11" t="s">
        <v>25</v>
      </c>
      <c r="C2" s="12" t="s">
        <v>8</v>
      </c>
      <c r="D2" s="14">
        <v>359</v>
      </c>
      <c r="E2" s="15">
        <v>61</v>
      </c>
      <c r="F2" s="33">
        <f t="shared" ref="F2:F254" si="0">E2/D2</f>
        <v>0.16991643454038996</v>
      </c>
      <c r="G2" s="66" t="s">
        <v>138</v>
      </c>
      <c r="H2" s="70">
        <v>36</v>
      </c>
      <c r="I2" s="70">
        <v>675</v>
      </c>
      <c r="J2" s="70">
        <v>1975</v>
      </c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x14ac:dyDescent="0.2">
      <c r="A3" s="1" t="s">
        <v>65</v>
      </c>
      <c r="B3" s="1" t="s">
        <v>26</v>
      </c>
      <c r="C3" s="3" t="s">
        <v>8</v>
      </c>
      <c r="D3" s="2">
        <v>69</v>
      </c>
      <c r="E3" s="5">
        <v>9</v>
      </c>
      <c r="F3" s="34">
        <f t="shared" si="0"/>
        <v>0.13043478260869565</v>
      </c>
      <c r="G3" s="66" t="s">
        <v>138</v>
      </c>
      <c r="H3" s="70">
        <v>36</v>
      </c>
      <c r="I3" s="70">
        <v>675</v>
      </c>
      <c r="J3" s="70">
        <v>1975</v>
      </c>
    </row>
    <row r="4" spans="1:20" x14ac:dyDescent="0.2">
      <c r="A4" s="1" t="s">
        <v>65</v>
      </c>
      <c r="B4" s="1" t="s">
        <v>28</v>
      </c>
      <c r="C4" s="3" t="s">
        <v>8</v>
      </c>
      <c r="D4" s="2">
        <v>69</v>
      </c>
      <c r="E4" s="5">
        <v>7</v>
      </c>
      <c r="F4" s="34">
        <f t="shared" si="0"/>
        <v>0.10144927536231885</v>
      </c>
      <c r="G4" s="66" t="s">
        <v>138</v>
      </c>
      <c r="H4" s="70">
        <v>36</v>
      </c>
      <c r="I4" s="70">
        <v>675</v>
      </c>
      <c r="J4" s="70">
        <v>1975</v>
      </c>
    </row>
    <row r="5" spans="1:20" x14ac:dyDescent="0.2">
      <c r="A5" s="1" t="s">
        <v>65</v>
      </c>
      <c r="B5" s="1" t="s">
        <v>27</v>
      </c>
      <c r="C5" s="3" t="s">
        <v>8</v>
      </c>
      <c r="D5" s="2">
        <v>75</v>
      </c>
      <c r="E5" s="5">
        <v>7</v>
      </c>
      <c r="F5" s="34">
        <f t="shared" si="0"/>
        <v>9.3333333333333338E-2</v>
      </c>
      <c r="G5" s="66" t="s">
        <v>138</v>
      </c>
      <c r="H5" s="70">
        <v>36</v>
      </c>
      <c r="I5" s="70">
        <v>675</v>
      </c>
      <c r="J5" s="70">
        <v>1975</v>
      </c>
    </row>
    <row r="6" spans="1:20" x14ac:dyDescent="0.2">
      <c r="A6" s="1" t="s">
        <v>65</v>
      </c>
      <c r="B6" s="1" t="s">
        <v>24</v>
      </c>
      <c r="C6" s="3" t="s">
        <v>8</v>
      </c>
      <c r="D6" s="2">
        <v>25</v>
      </c>
      <c r="E6" s="5">
        <v>2</v>
      </c>
      <c r="F6" s="34">
        <f t="shared" si="0"/>
        <v>0.08</v>
      </c>
      <c r="G6" s="66" t="s">
        <v>138</v>
      </c>
      <c r="H6" s="70">
        <v>36</v>
      </c>
      <c r="I6" s="70">
        <v>675</v>
      </c>
      <c r="J6" s="70">
        <v>1975</v>
      </c>
    </row>
    <row r="7" spans="1:20" x14ac:dyDescent="0.2">
      <c r="A7" s="1" t="s">
        <v>65</v>
      </c>
      <c r="B7" s="1" t="s">
        <v>6</v>
      </c>
      <c r="C7" s="3" t="s">
        <v>8</v>
      </c>
      <c r="D7" s="2">
        <v>56</v>
      </c>
      <c r="E7" s="5">
        <v>3</v>
      </c>
      <c r="F7" s="34">
        <f t="shared" si="0"/>
        <v>5.3571428571428568E-2</v>
      </c>
      <c r="G7" s="66" t="s">
        <v>138</v>
      </c>
      <c r="H7" s="70">
        <v>36</v>
      </c>
      <c r="I7" s="70">
        <v>675</v>
      </c>
      <c r="J7" s="70">
        <v>1975</v>
      </c>
    </row>
    <row r="8" spans="1:20" x14ac:dyDescent="0.2">
      <c r="A8" s="1" t="s">
        <v>65</v>
      </c>
      <c r="B8" s="1" t="s">
        <v>23</v>
      </c>
      <c r="C8" s="3" t="s">
        <v>8</v>
      </c>
      <c r="D8" s="2">
        <v>38</v>
      </c>
      <c r="E8" s="5">
        <v>2</v>
      </c>
      <c r="F8" s="34">
        <f t="shared" si="0"/>
        <v>5.2631578947368418E-2</v>
      </c>
      <c r="G8" s="66" t="s">
        <v>138</v>
      </c>
      <c r="H8" s="70">
        <v>36</v>
      </c>
      <c r="I8" s="70">
        <v>675</v>
      </c>
      <c r="J8" s="70">
        <v>1975</v>
      </c>
    </row>
    <row r="9" spans="1:20" x14ac:dyDescent="0.2">
      <c r="A9" s="1" t="s">
        <v>65</v>
      </c>
      <c r="B9" s="1" t="s">
        <v>22</v>
      </c>
      <c r="C9" s="3" t="s">
        <v>8</v>
      </c>
      <c r="D9" s="2">
        <v>49</v>
      </c>
      <c r="E9" s="5">
        <v>2</v>
      </c>
      <c r="F9" s="34">
        <f t="shared" si="0"/>
        <v>4.0816326530612242E-2</v>
      </c>
      <c r="G9" s="66" t="s">
        <v>138</v>
      </c>
      <c r="H9" s="70">
        <v>36</v>
      </c>
      <c r="I9" s="70">
        <v>675</v>
      </c>
      <c r="J9" s="70">
        <v>1975</v>
      </c>
    </row>
    <row r="10" spans="1:20" x14ac:dyDescent="0.2">
      <c r="A10" s="1" t="s">
        <v>65</v>
      </c>
      <c r="B10" s="1" t="s">
        <v>17</v>
      </c>
      <c r="C10" s="3" t="s">
        <v>8</v>
      </c>
      <c r="D10" s="2">
        <v>9</v>
      </c>
      <c r="E10" s="5">
        <v>0</v>
      </c>
      <c r="F10" s="34">
        <f t="shared" si="0"/>
        <v>0</v>
      </c>
      <c r="G10" s="66" t="s">
        <v>138</v>
      </c>
      <c r="H10" s="70">
        <v>36</v>
      </c>
      <c r="I10" s="70">
        <v>675</v>
      </c>
      <c r="J10" s="70">
        <v>1975</v>
      </c>
    </row>
    <row r="11" spans="1:20" x14ac:dyDescent="0.2">
      <c r="A11" s="1" t="s">
        <v>65</v>
      </c>
      <c r="B11" s="1" t="s">
        <v>18</v>
      </c>
      <c r="C11" s="3" t="s">
        <v>8</v>
      </c>
      <c r="D11" s="2">
        <v>15</v>
      </c>
      <c r="E11" s="5">
        <v>0</v>
      </c>
      <c r="F11" s="34">
        <f t="shared" si="0"/>
        <v>0</v>
      </c>
      <c r="G11" s="66" t="s">
        <v>138</v>
      </c>
      <c r="H11" s="70">
        <v>36</v>
      </c>
      <c r="I11" s="70">
        <v>675</v>
      </c>
      <c r="J11" s="70">
        <v>1975</v>
      </c>
    </row>
    <row r="12" spans="1:20" x14ac:dyDescent="0.2">
      <c r="A12" s="1" t="s">
        <v>65</v>
      </c>
      <c r="B12" s="1" t="s">
        <v>19</v>
      </c>
      <c r="C12" s="3" t="s">
        <v>8</v>
      </c>
      <c r="D12" s="2">
        <v>17</v>
      </c>
      <c r="E12" s="5">
        <v>0</v>
      </c>
      <c r="F12" s="34">
        <f t="shared" si="0"/>
        <v>0</v>
      </c>
      <c r="G12" s="66" t="s">
        <v>138</v>
      </c>
      <c r="H12" s="70">
        <v>36</v>
      </c>
      <c r="I12" s="70">
        <v>675</v>
      </c>
      <c r="J12" s="70">
        <v>1975</v>
      </c>
    </row>
    <row r="13" spans="1:20" x14ac:dyDescent="0.2">
      <c r="A13" s="1" t="s">
        <v>65</v>
      </c>
      <c r="B13" s="1" t="s">
        <v>20</v>
      </c>
      <c r="C13" s="3" t="s">
        <v>8</v>
      </c>
      <c r="D13" s="2">
        <v>22</v>
      </c>
      <c r="E13" s="5">
        <v>0</v>
      </c>
      <c r="F13" s="34">
        <f t="shared" si="0"/>
        <v>0</v>
      </c>
      <c r="G13" s="66" t="s">
        <v>138</v>
      </c>
      <c r="H13" s="70">
        <v>36</v>
      </c>
      <c r="I13" s="70">
        <v>675</v>
      </c>
      <c r="J13" s="70">
        <v>1975</v>
      </c>
    </row>
    <row r="14" spans="1:20" x14ac:dyDescent="0.2">
      <c r="A14" s="1" t="s">
        <v>65</v>
      </c>
      <c r="B14" s="1" t="s">
        <v>21</v>
      </c>
      <c r="C14" s="3" t="s">
        <v>8</v>
      </c>
      <c r="D14" s="2">
        <v>27</v>
      </c>
      <c r="E14" s="5">
        <v>0</v>
      </c>
      <c r="F14" s="34">
        <f t="shared" si="0"/>
        <v>0</v>
      </c>
      <c r="G14" s="66" t="s">
        <v>138</v>
      </c>
      <c r="H14" s="70">
        <v>36</v>
      </c>
      <c r="I14" s="70">
        <v>675</v>
      </c>
      <c r="J14" s="70">
        <v>1975</v>
      </c>
    </row>
    <row r="15" spans="1:20" s="21" customFormat="1" x14ac:dyDescent="0.2">
      <c r="A15" s="17" t="s">
        <v>65</v>
      </c>
      <c r="B15" s="17" t="s">
        <v>25</v>
      </c>
      <c r="C15" s="18" t="s">
        <v>29</v>
      </c>
      <c r="D15" s="19">
        <v>39</v>
      </c>
      <c r="E15" s="20">
        <v>6</v>
      </c>
      <c r="F15" s="35">
        <f t="shared" si="0"/>
        <v>0.15384615384615385</v>
      </c>
      <c r="G15" s="66" t="s">
        <v>138</v>
      </c>
      <c r="H15" s="70">
        <v>36</v>
      </c>
      <c r="I15" s="70">
        <v>675</v>
      </c>
      <c r="J15" s="70">
        <v>1975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</row>
    <row r="16" spans="1:20" x14ac:dyDescent="0.2">
      <c r="A16" s="1" t="s">
        <v>65</v>
      </c>
      <c r="B16" s="1" t="s">
        <v>25</v>
      </c>
      <c r="C16" s="3" t="s">
        <v>30</v>
      </c>
      <c r="D16" s="2">
        <v>72</v>
      </c>
      <c r="E16" s="5">
        <v>19</v>
      </c>
      <c r="F16" s="34">
        <f t="shared" si="0"/>
        <v>0.2638888888888889</v>
      </c>
      <c r="G16" s="66" t="s">
        <v>138</v>
      </c>
      <c r="H16" s="70">
        <v>36</v>
      </c>
      <c r="I16" s="70">
        <v>675</v>
      </c>
      <c r="J16" s="70">
        <v>1975</v>
      </c>
    </row>
    <row r="17" spans="1:20" x14ac:dyDescent="0.2">
      <c r="A17" s="1" t="s">
        <v>65</v>
      </c>
      <c r="B17" s="1" t="s">
        <v>28</v>
      </c>
      <c r="C17" s="3" t="s">
        <v>30</v>
      </c>
      <c r="D17" s="2">
        <v>33</v>
      </c>
      <c r="E17" s="5">
        <v>6</v>
      </c>
      <c r="F17" s="34">
        <f t="shared" si="0"/>
        <v>0.18181818181818182</v>
      </c>
      <c r="G17" s="66" t="s">
        <v>138</v>
      </c>
      <c r="H17" s="70">
        <v>36</v>
      </c>
      <c r="I17" s="70">
        <v>675</v>
      </c>
      <c r="J17" s="70">
        <v>1975</v>
      </c>
    </row>
    <row r="18" spans="1:20" x14ac:dyDescent="0.2">
      <c r="A18" s="1" t="s">
        <v>65</v>
      </c>
      <c r="B18" s="1" t="s">
        <v>6</v>
      </c>
      <c r="C18" s="3" t="s">
        <v>30</v>
      </c>
      <c r="D18" s="2">
        <v>14</v>
      </c>
      <c r="E18" s="5">
        <v>5</v>
      </c>
      <c r="F18" s="34">
        <f t="shared" si="0"/>
        <v>0.35714285714285715</v>
      </c>
      <c r="G18" s="66" t="s">
        <v>138</v>
      </c>
      <c r="H18" s="70">
        <v>36</v>
      </c>
      <c r="I18" s="70">
        <v>675</v>
      </c>
      <c r="J18" s="70">
        <v>1975</v>
      </c>
    </row>
    <row r="19" spans="1:20" x14ac:dyDescent="0.2">
      <c r="A19" s="1" t="s">
        <v>65</v>
      </c>
      <c r="B19" s="1" t="s">
        <v>27</v>
      </c>
      <c r="C19" s="3" t="s">
        <v>30</v>
      </c>
      <c r="D19" s="2">
        <v>11</v>
      </c>
      <c r="E19" s="5">
        <v>0</v>
      </c>
      <c r="F19" s="34">
        <f t="shared" si="0"/>
        <v>0</v>
      </c>
      <c r="G19" s="66" t="s">
        <v>138</v>
      </c>
      <c r="H19" s="70">
        <v>36</v>
      </c>
      <c r="I19" s="70">
        <v>675</v>
      </c>
      <c r="J19" s="70">
        <v>1975</v>
      </c>
    </row>
    <row r="20" spans="1:20" ht="17" thickBot="1" x14ac:dyDescent="0.25">
      <c r="A20" s="1" t="s">
        <v>65</v>
      </c>
      <c r="B20" s="1" t="s">
        <v>26</v>
      </c>
      <c r="C20" s="3" t="s">
        <v>30</v>
      </c>
      <c r="D20" s="2">
        <v>11</v>
      </c>
      <c r="E20" s="5">
        <v>3</v>
      </c>
      <c r="F20" s="34">
        <f t="shared" si="0"/>
        <v>0.27272727272727271</v>
      </c>
      <c r="G20" s="66" t="s">
        <v>138</v>
      </c>
      <c r="H20" s="70">
        <v>36</v>
      </c>
      <c r="I20" s="70">
        <v>675</v>
      </c>
      <c r="J20" s="70">
        <v>1975</v>
      </c>
    </row>
    <row r="21" spans="1:20" s="16" customFormat="1" x14ac:dyDescent="0.2">
      <c r="A21" s="11" t="s">
        <v>66</v>
      </c>
      <c r="B21" s="11" t="s">
        <v>25</v>
      </c>
      <c r="C21" s="12" t="s">
        <v>36</v>
      </c>
      <c r="D21" s="14">
        <v>66</v>
      </c>
      <c r="E21" s="15">
        <v>19</v>
      </c>
      <c r="F21" s="33">
        <f t="shared" si="0"/>
        <v>0.2878787878787879</v>
      </c>
      <c r="G21" s="66" t="s">
        <v>138</v>
      </c>
      <c r="H21" s="70">
        <v>36</v>
      </c>
      <c r="I21" s="70">
        <v>729</v>
      </c>
      <c r="J21" s="70">
        <v>1975</v>
      </c>
      <c r="K21" s="71"/>
      <c r="L21" s="71"/>
      <c r="M21" s="71"/>
      <c r="N21" s="71"/>
      <c r="O21" s="71"/>
      <c r="P21" s="71"/>
      <c r="Q21" s="71"/>
      <c r="R21" s="71"/>
      <c r="S21" s="71"/>
      <c r="T21" s="71"/>
    </row>
    <row r="22" spans="1:20" x14ac:dyDescent="0.2">
      <c r="A22" s="1" t="s">
        <v>66</v>
      </c>
      <c r="B22" s="1" t="s">
        <v>24</v>
      </c>
      <c r="C22" s="3" t="s">
        <v>36</v>
      </c>
      <c r="D22" s="2">
        <v>57</v>
      </c>
      <c r="E22" s="5">
        <v>8</v>
      </c>
      <c r="F22" s="34">
        <f t="shared" si="0"/>
        <v>0.14035087719298245</v>
      </c>
      <c r="G22" s="66" t="s">
        <v>138</v>
      </c>
      <c r="H22" s="70">
        <v>36</v>
      </c>
      <c r="I22" s="70">
        <v>729</v>
      </c>
      <c r="J22" s="70">
        <v>1975</v>
      </c>
    </row>
    <row r="23" spans="1:20" x14ac:dyDescent="0.2">
      <c r="A23" s="1" t="s">
        <v>66</v>
      </c>
      <c r="B23" s="1" t="s">
        <v>34</v>
      </c>
      <c r="C23" s="3" t="s">
        <v>36</v>
      </c>
      <c r="D23" s="2">
        <v>31</v>
      </c>
      <c r="E23" s="5">
        <v>12</v>
      </c>
      <c r="F23" s="34">
        <f t="shared" si="0"/>
        <v>0.38709677419354838</v>
      </c>
      <c r="G23" s="66" t="s">
        <v>138</v>
      </c>
      <c r="H23" s="70">
        <v>36</v>
      </c>
      <c r="I23" s="70">
        <v>729</v>
      </c>
      <c r="J23" s="70">
        <v>1975</v>
      </c>
    </row>
    <row r="24" spans="1:20" x14ac:dyDescent="0.2">
      <c r="A24" s="1" t="s">
        <v>71</v>
      </c>
      <c r="B24" s="1" t="s">
        <v>53</v>
      </c>
      <c r="C24" s="3" t="s">
        <v>36</v>
      </c>
      <c r="D24" s="2">
        <v>16</v>
      </c>
      <c r="E24" s="5">
        <v>1</v>
      </c>
      <c r="F24" s="34">
        <f t="shared" si="0"/>
        <v>6.25E-2</v>
      </c>
      <c r="G24" s="66" t="s">
        <v>138</v>
      </c>
      <c r="H24" s="70">
        <v>36</v>
      </c>
      <c r="I24" s="70">
        <v>729</v>
      </c>
      <c r="J24" s="70">
        <v>1975</v>
      </c>
    </row>
    <row r="25" spans="1:20" x14ac:dyDescent="0.2">
      <c r="A25" s="1" t="s">
        <v>71</v>
      </c>
      <c r="B25" s="1" t="s">
        <v>67</v>
      </c>
      <c r="C25" s="3" t="s">
        <v>36</v>
      </c>
      <c r="D25" s="2">
        <v>36</v>
      </c>
      <c r="E25" s="5">
        <v>2</v>
      </c>
      <c r="F25" s="34">
        <f t="shared" si="0"/>
        <v>5.5555555555555552E-2</v>
      </c>
      <c r="G25" s="66" t="s">
        <v>138</v>
      </c>
      <c r="H25" s="70">
        <v>36</v>
      </c>
      <c r="I25" s="70">
        <v>729</v>
      </c>
      <c r="J25" s="70">
        <v>1975</v>
      </c>
    </row>
    <row r="26" spans="1:20" x14ac:dyDescent="0.2">
      <c r="A26" s="1" t="s">
        <v>71</v>
      </c>
      <c r="B26" s="1" t="s">
        <v>17</v>
      </c>
      <c r="C26" s="3" t="s">
        <v>36</v>
      </c>
      <c r="D26" s="2">
        <v>22</v>
      </c>
      <c r="E26" s="5">
        <v>2</v>
      </c>
      <c r="F26" s="34">
        <f t="shared" si="0"/>
        <v>9.0909090909090912E-2</v>
      </c>
      <c r="G26" s="66" t="s">
        <v>138</v>
      </c>
      <c r="H26" s="70">
        <v>36</v>
      </c>
      <c r="I26" s="70">
        <v>729</v>
      </c>
      <c r="J26" s="70">
        <v>1975</v>
      </c>
    </row>
    <row r="27" spans="1:20" x14ac:dyDescent="0.2">
      <c r="A27" s="1" t="s">
        <v>71</v>
      </c>
      <c r="B27" s="1" t="s">
        <v>6</v>
      </c>
      <c r="C27" s="3" t="s">
        <v>36</v>
      </c>
      <c r="D27" s="2">
        <v>9</v>
      </c>
      <c r="E27" s="5">
        <v>2</v>
      </c>
      <c r="F27" s="34">
        <f t="shared" si="0"/>
        <v>0.22222222222222221</v>
      </c>
      <c r="G27" s="66" t="s">
        <v>138</v>
      </c>
      <c r="H27" s="70">
        <v>36</v>
      </c>
      <c r="I27" s="70">
        <v>729</v>
      </c>
      <c r="J27" s="70">
        <v>1975</v>
      </c>
    </row>
    <row r="28" spans="1:20" x14ac:dyDescent="0.2">
      <c r="A28" s="1" t="s">
        <v>71</v>
      </c>
      <c r="B28" s="1" t="s">
        <v>26</v>
      </c>
      <c r="C28" s="3" t="s">
        <v>36</v>
      </c>
      <c r="D28" s="2">
        <v>8</v>
      </c>
      <c r="E28" s="5">
        <v>1</v>
      </c>
      <c r="F28" s="34">
        <f t="shared" si="0"/>
        <v>0.125</v>
      </c>
      <c r="G28" s="66" t="s">
        <v>138</v>
      </c>
      <c r="H28" s="70">
        <v>36</v>
      </c>
      <c r="I28" s="70">
        <v>729</v>
      </c>
      <c r="J28" s="70">
        <v>1975</v>
      </c>
    </row>
    <row r="29" spans="1:20" x14ac:dyDescent="0.2">
      <c r="A29" s="1" t="s">
        <v>71</v>
      </c>
      <c r="B29" s="1" t="s">
        <v>28</v>
      </c>
      <c r="C29" s="3" t="s">
        <v>36</v>
      </c>
      <c r="D29" s="2">
        <v>15</v>
      </c>
      <c r="E29" s="5">
        <v>2</v>
      </c>
      <c r="F29" s="34">
        <f t="shared" si="0"/>
        <v>0.13333333333333333</v>
      </c>
      <c r="G29" s="66" t="s">
        <v>138</v>
      </c>
      <c r="H29" s="70">
        <v>36</v>
      </c>
      <c r="I29" s="70">
        <v>729</v>
      </c>
      <c r="J29" s="70">
        <v>1975</v>
      </c>
    </row>
    <row r="30" spans="1:20" x14ac:dyDescent="0.2">
      <c r="A30" s="1" t="s">
        <v>71</v>
      </c>
      <c r="B30" s="1" t="s">
        <v>68</v>
      </c>
      <c r="C30" s="3" t="s">
        <v>36</v>
      </c>
      <c r="D30" s="2">
        <v>19</v>
      </c>
      <c r="E30" s="5">
        <v>2</v>
      </c>
      <c r="F30" s="34">
        <f t="shared" si="0"/>
        <v>0.10526315789473684</v>
      </c>
      <c r="G30" s="66" t="s">
        <v>138</v>
      </c>
      <c r="H30" s="70">
        <v>36</v>
      </c>
      <c r="I30" s="70">
        <v>729</v>
      </c>
      <c r="J30" s="70">
        <v>1975</v>
      </c>
    </row>
    <row r="31" spans="1:20" s="41" customFormat="1" x14ac:dyDescent="0.2">
      <c r="A31" s="1" t="s">
        <v>71</v>
      </c>
      <c r="B31" s="36" t="s">
        <v>20</v>
      </c>
      <c r="C31" s="37" t="s">
        <v>16</v>
      </c>
      <c r="D31" s="38">
        <v>25</v>
      </c>
      <c r="E31" s="39">
        <v>7</v>
      </c>
      <c r="F31" s="40">
        <f t="shared" si="0"/>
        <v>0.28000000000000003</v>
      </c>
      <c r="G31" s="66" t="s">
        <v>138</v>
      </c>
      <c r="H31" s="70">
        <v>36</v>
      </c>
      <c r="I31" s="70">
        <v>729</v>
      </c>
      <c r="J31" s="70">
        <v>1975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</row>
    <row r="32" spans="1:20" x14ac:dyDescent="0.2">
      <c r="A32" s="1" t="s">
        <v>71</v>
      </c>
      <c r="B32" s="1" t="s">
        <v>25</v>
      </c>
      <c r="C32" s="3" t="s">
        <v>16</v>
      </c>
      <c r="D32" s="2">
        <v>40</v>
      </c>
      <c r="E32" s="5">
        <v>3</v>
      </c>
      <c r="F32" s="34">
        <f t="shared" si="0"/>
        <v>7.4999999999999997E-2</v>
      </c>
      <c r="G32" s="66" t="s">
        <v>138</v>
      </c>
      <c r="H32" s="70">
        <v>36</v>
      </c>
      <c r="I32" s="70">
        <v>729</v>
      </c>
      <c r="J32" s="70">
        <v>1975</v>
      </c>
    </row>
    <row r="33" spans="1:20" x14ac:dyDescent="0.2">
      <c r="A33" s="1" t="s">
        <v>71</v>
      </c>
      <c r="B33" s="1" t="s">
        <v>6</v>
      </c>
      <c r="C33" s="3" t="s">
        <v>16</v>
      </c>
      <c r="D33" s="2">
        <v>56</v>
      </c>
      <c r="E33" s="5">
        <v>4</v>
      </c>
      <c r="F33" s="34">
        <f t="shared" si="0"/>
        <v>7.1428571428571425E-2</v>
      </c>
      <c r="G33" s="66" t="s">
        <v>138</v>
      </c>
      <c r="H33" s="70">
        <v>36</v>
      </c>
      <c r="I33" s="70">
        <v>729</v>
      </c>
      <c r="J33" s="70">
        <v>1975</v>
      </c>
    </row>
    <row r="34" spans="1:20" x14ac:dyDescent="0.2">
      <c r="A34" s="1" t="s">
        <v>71</v>
      </c>
      <c r="B34" s="1" t="s">
        <v>27</v>
      </c>
      <c r="C34" s="3" t="s">
        <v>16</v>
      </c>
      <c r="D34" s="2">
        <v>59</v>
      </c>
      <c r="E34" s="5">
        <v>4</v>
      </c>
      <c r="F34" s="34">
        <f t="shared" si="0"/>
        <v>6.7796610169491525E-2</v>
      </c>
      <c r="G34" s="66" t="s">
        <v>138</v>
      </c>
      <c r="H34" s="70">
        <v>36</v>
      </c>
      <c r="I34" s="70">
        <v>729</v>
      </c>
      <c r="J34" s="70">
        <v>1975</v>
      </c>
    </row>
    <row r="35" spans="1:20" x14ac:dyDescent="0.2">
      <c r="A35" s="1" t="s">
        <v>71</v>
      </c>
      <c r="B35" s="1" t="s">
        <v>68</v>
      </c>
      <c r="C35" s="3" t="s">
        <v>16</v>
      </c>
      <c r="D35" s="2">
        <v>21</v>
      </c>
      <c r="E35" s="5">
        <v>0</v>
      </c>
      <c r="F35" s="34">
        <f t="shared" si="0"/>
        <v>0</v>
      </c>
      <c r="G35" s="66" t="s">
        <v>138</v>
      </c>
      <c r="H35" s="70">
        <v>36</v>
      </c>
      <c r="I35" s="70">
        <v>729</v>
      </c>
      <c r="J35" s="70">
        <v>1975</v>
      </c>
    </row>
    <row r="36" spans="1:20" x14ac:dyDescent="0.2">
      <c r="A36" s="1" t="s">
        <v>71</v>
      </c>
      <c r="B36" s="1" t="s">
        <v>19</v>
      </c>
      <c r="C36" s="3" t="s">
        <v>16</v>
      </c>
      <c r="D36" s="2">
        <v>29</v>
      </c>
      <c r="E36" s="5">
        <v>1</v>
      </c>
      <c r="F36" s="34">
        <f t="shared" si="0"/>
        <v>3.4482758620689655E-2</v>
      </c>
      <c r="G36" s="66" t="s">
        <v>138</v>
      </c>
      <c r="H36" s="70">
        <v>36</v>
      </c>
      <c r="I36" s="70">
        <v>729</v>
      </c>
      <c r="J36" s="70">
        <v>1975</v>
      </c>
    </row>
    <row r="37" spans="1:20" x14ac:dyDescent="0.2">
      <c r="A37" s="1" t="s">
        <v>71</v>
      </c>
      <c r="B37" s="1" t="s">
        <v>24</v>
      </c>
      <c r="C37" s="3" t="s">
        <v>16</v>
      </c>
      <c r="D37" s="2">
        <v>12</v>
      </c>
      <c r="E37" s="5">
        <v>2</v>
      </c>
      <c r="F37" s="34">
        <f t="shared" si="0"/>
        <v>0.16666666666666666</v>
      </c>
      <c r="G37" s="66" t="s">
        <v>138</v>
      </c>
      <c r="H37" s="70">
        <v>36</v>
      </c>
      <c r="I37" s="70">
        <v>729</v>
      </c>
      <c r="J37" s="70">
        <v>1975</v>
      </c>
    </row>
    <row r="38" spans="1:20" x14ac:dyDescent="0.2">
      <c r="A38" s="1" t="s">
        <v>71</v>
      </c>
      <c r="B38" s="1" t="s">
        <v>49</v>
      </c>
      <c r="C38" s="3" t="s">
        <v>16</v>
      </c>
      <c r="D38" s="2">
        <v>15</v>
      </c>
      <c r="E38" s="5">
        <v>2</v>
      </c>
      <c r="F38" s="34">
        <f t="shared" si="0"/>
        <v>0.13333333333333333</v>
      </c>
      <c r="G38" s="66" t="s">
        <v>138</v>
      </c>
      <c r="H38" s="70">
        <v>36</v>
      </c>
      <c r="I38" s="70">
        <v>729</v>
      </c>
      <c r="J38" s="70">
        <v>1975</v>
      </c>
    </row>
    <row r="39" spans="1:20" x14ac:dyDescent="0.2">
      <c r="A39" s="1" t="s">
        <v>71</v>
      </c>
      <c r="B39" s="1" t="s">
        <v>55</v>
      </c>
      <c r="C39" s="3" t="s">
        <v>16</v>
      </c>
      <c r="D39" s="2">
        <v>15</v>
      </c>
      <c r="E39" s="5">
        <v>1</v>
      </c>
      <c r="F39" s="34">
        <f t="shared" si="0"/>
        <v>6.6666666666666666E-2</v>
      </c>
      <c r="G39" s="66" t="s">
        <v>138</v>
      </c>
      <c r="H39" s="70">
        <v>36</v>
      </c>
      <c r="I39" s="70">
        <v>729</v>
      </c>
      <c r="J39" s="70">
        <v>1975</v>
      </c>
    </row>
    <row r="40" spans="1:20" x14ac:dyDescent="0.2">
      <c r="A40" s="1" t="s">
        <v>71</v>
      </c>
      <c r="B40" s="1" t="s">
        <v>61</v>
      </c>
      <c r="C40" s="3" t="s">
        <v>16</v>
      </c>
      <c r="D40" s="2">
        <v>12</v>
      </c>
      <c r="E40" s="5">
        <v>1</v>
      </c>
      <c r="F40" s="34">
        <f t="shared" si="0"/>
        <v>8.3333333333333329E-2</v>
      </c>
      <c r="G40" s="66" t="s">
        <v>138</v>
      </c>
      <c r="H40" s="70">
        <v>36</v>
      </c>
      <c r="I40" s="70">
        <v>729</v>
      </c>
      <c r="J40" s="70">
        <v>1975</v>
      </c>
    </row>
    <row r="41" spans="1:20" x14ac:dyDescent="0.2">
      <c r="A41" s="1" t="s">
        <v>71</v>
      </c>
      <c r="B41" s="1" t="s">
        <v>18</v>
      </c>
      <c r="C41" s="3" t="s">
        <v>16</v>
      </c>
      <c r="D41" s="2">
        <v>7</v>
      </c>
      <c r="E41" s="5">
        <v>1</v>
      </c>
      <c r="F41" s="34">
        <f t="shared" si="0"/>
        <v>0.14285714285714285</v>
      </c>
      <c r="G41" s="66" t="s">
        <v>138</v>
      </c>
      <c r="H41" s="70">
        <v>36</v>
      </c>
      <c r="I41" s="70">
        <v>729</v>
      </c>
      <c r="J41" s="70">
        <v>1975</v>
      </c>
    </row>
    <row r="42" spans="1:20" x14ac:dyDescent="0.2">
      <c r="A42" s="1" t="s">
        <v>71</v>
      </c>
      <c r="B42" s="1" t="s">
        <v>26</v>
      </c>
      <c r="C42" s="3" t="s">
        <v>16</v>
      </c>
      <c r="D42" s="2">
        <v>36</v>
      </c>
      <c r="E42" s="5">
        <v>4</v>
      </c>
      <c r="F42" s="34">
        <f t="shared" si="0"/>
        <v>0.1111111111111111</v>
      </c>
      <c r="G42" s="66" t="s">
        <v>138</v>
      </c>
      <c r="H42" s="70">
        <v>36</v>
      </c>
      <c r="I42" s="70">
        <v>729</v>
      </c>
      <c r="J42" s="70">
        <v>1975</v>
      </c>
    </row>
    <row r="43" spans="1:20" s="47" customFormat="1" x14ac:dyDescent="0.2">
      <c r="A43" s="1" t="s">
        <v>71</v>
      </c>
      <c r="B43" s="42" t="s">
        <v>69</v>
      </c>
      <c r="C43" s="43" t="s">
        <v>16</v>
      </c>
      <c r="D43" s="44">
        <v>10</v>
      </c>
      <c r="E43" s="45">
        <v>0</v>
      </c>
      <c r="F43" s="46">
        <f t="shared" si="0"/>
        <v>0</v>
      </c>
      <c r="G43" s="66" t="s">
        <v>138</v>
      </c>
      <c r="H43" s="70">
        <v>36</v>
      </c>
      <c r="I43" s="70">
        <v>729</v>
      </c>
      <c r="J43" s="70">
        <v>1975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</row>
    <row r="44" spans="1:20" x14ac:dyDescent="0.2">
      <c r="A44" s="1" t="s">
        <v>71</v>
      </c>
      <c r="B44" s="1" t="s">
        <v>6</v>
      </c>
      <c r="C44" s="3" t="s">
        <v>12</v>
      </c>
      <c r="D44" s="2">
        <v>87</v>
      </c>
      <c r="E44" s="5">
        <v>30</v>
      </c>
      <c r="F44" s="34">
        <f t="shared" si="0"/>
        <v>0.34482758620689657</v>
      </c>
      <c r="G44" s="66" t="s">
        <v>138</v>
      </c>
      <c r="H44" s="70">
        <v>36</v>
      </c>
      <c r="I44" s="70">
        <v>729</v>
      </c>
      <c r="J44" s="70">
        <v>1975</v>
      </c>
    </row>
    <row r="45" spans="1:20" x14ac:dyDescent="0.2">
      <c r="A45" s="1" t="s">
        <v>71</v>
      </c>
      <c r="B45" s="1" t="s">
        <v>25</v>
      </c>
      <c r="C45" s="3" t="s">
        <v>12</v>
      </c>
      <c r="D45" s="2">
        <v>74</v>
      </c>
      <c r="E45" s="5">
        <v>26</v>
      </c>
      <c r="F45" s="34">
        <f t="shared" si="0"/>
        <v>0.35135135135135137</v>
      </c>
      <c r="G45" s="66" t="s">
        <v>138</v>
      </c>
      <c r="H45" s="70">
        <v>36</v>
      </c>
      <c r="I45" s="70">
        <v>729</v>
      </c>
      <c r="J45" s="70">
        <v>1975</v>
      </c>
    </row>
    <row r="46" spans="1:20" x14ac:dyDescent="0.2">
      <c r="A46" s="1" t="s">
        <v>71</v>
      </c>
      <c r="B46" s="1" t="s">
        <v>26</v>
      </c>
      <c r="C46" s="3" t="s">
        <v>12</v>
      </c>
      <c r="D46" s="2">
        <v>51</v>
      </c>
      <c r="E46" s="5">
        <v>13</v>
      </c>
      <c r="F46" s="34">
        <f t="shared" si="0"/>
        <v>0.25490196078431371</v>
      </c>
      <c r="G46" s="66" t="s">
        <v>138</v>
      </c>
      <c r="H46" s="70">
        <v>36</v>
      </c>
      <c r="I46" s="70">
        <v>729</v>
      </c>
      <c r="J46" s="70">
        <v>1975</v>
      </c>
    </row>
    <row r="47" spans="1:20" x14ac:dyDescent="0.2">
      <c r="A47" s="1" t="s">
        <v>71</v>
      </c>
      <c r="B47" s="1" t="s">
        <v>24</v>
      </c>
      <c r="C47" s="3" t="s">
        <v>12</v>
      </c>
      <c r="D47" s="2">
        <v>10</v>
      </c>
      <c r="E47" s="5">
        <v>2</v>
      </c>
      <c r="F47" s="34">
        <f t="shared" si="0"/>
        <v>0.2</v>
      </c>
      <c r="G47" s="66" t="s">
        <v>138</v>
      </c>
      <c r="H47" s="70">
        <v>36</v>
      </c>
      <c r="I47" s="70">
        <v>729</v>
      </c>
      <c r="J47" s="70">
        <v>1975</v>
      </c>
    </row>
    <row r="48" spans="1:20" x14ac:dyDescent="0.2">
      <c r="A48" s="1" t="s">
        <v>71</v>
      </c>
      <c r="B48" s="1" t="s">
        <v>49</v>
      </c>
      <c r="C48" s="3" t="s">
        <v>12</v>
      </c>
      <c r="D48" s="2">
        <v>10</v>
      </c>
      <c r="E48" s="5">
        <v>0</v>
      </c>
      <c r="F48" s="34">
        <f t="shared" si="0"/>
        <v>0</v>
      </c>
      <c r="G48" s="66" t="s">
        <v>138</v>
      </c>
      <c r="H48" s="70">
        <v>36</v>
      </c>
      <c r="I48" s="70">
        <v>729</v>
      </c>
      <c r="J48" s="70">
        <v>1975</v>
      </c>
    </row>
    <row r="49" spans="1:20" s="47" customFormat="1" x14ac:dyDescent="0.2">
      <c r="A49" s="1" t="s">
        <v>71</v>
      </c>
      <c r="B49" s="42" t="s">
        <v>23</v>
      </c>
      <c r="C49" s="43" t="s">
        <v>12</v>
      </c>
      <c r="D49" s="44">
        <v>11</v>
      </c>
      <c r="E49" s="45">
        <v>4</v>
      </c>
      <c r="F49" s="46">
        <f t="shared" si="0"/>
        <v>0.36363636363636365</v>
      </c>
      <c r="G49" s="66" t="s">
        <v>138</v>
      </c>
      <c r="H49" s="70">
        <v>36</v>
      </c>
      <c r="I49" s="70">
        <v>729</v>
      </c>
      <c r="J49" s="70">
        <v>1975</v>
      </c>
      <c r="K49" s="71"/>
      <c r="L49" s="71"/>
      <c r="M49" s="71"/>
      <c r="N49" s="71"/>
      <c r="O49" s="71"/>
      <c r="P49" s="71"/>
      <c r="Q49" s="71"/>
      <c r="R49" s="71"/>
      <c r="S49" s="71"/>
      <c r="T49" s="71"/>
    </row>
    <row r="50" spans="1:20" x14ac:dyDescent="0.2">
      <c r="A50" s="1" t="s">
        <v>71</v>
      </c>
      <c r="B50" s="1" t="s">
        <v>61</v>
      </c>
      <c r="C50" s="3" t="s">
        <v>70</v>
      </c>
      <c r="D50" s="2">
        <v>25</v>
      </c>
      <c r="E50" s="5">
        <v>17</v>
      </c>
      <c r="F50" s="34">
        <f t="shared" si="0"/>
        <v>0.68</v>
      </c>
      <c r="G50" s="66" t="s">
        <v>138</v>
      </c>
      <c r="H50" s="70">
        <v>36</v>
      </c>
      <c r="I50" s="70">
        <v>729</v>
      </c>
      <c r="J50" s="70">
        <v>1975</v>
      </c>
    </row>
    <row r="51" spans="1:20" x14ac:dyDescent="0.2">
      <c r="A51" s="1" t="s">
        <v>71</v>
      </c>
      <c r="B51" s="1" t="s">
        <v>59</v>
      </c>
      <c r="C51" s="3" t="s">
        <v>70</v>
      </c>
      <c r="D51" s="2">
        <v>31</v>
      </c>
      <c r="E51" s="5">
        <v>16</v>
      </c>
      <c r="F51" s="34">
        <f t="shared" si="0"/>
        <v>0.5161290322580645</v>
      </c>
      <c r="G51" s="66" t="s">
        <v>138</v>
      </c>
      <c r="H51" s="70">
        <v>36</v>
      </c>
      <c r="I51" s="70">
        <v>729</v>
      </c>
      <c r="J51" s="70">
        <v>1975</v>
      </c>
    </row>
    <row r="52" spans="1:20" x14ac:dyDescent="0.2">
      <c r="A52" s="1" t="s">
        <v>71</v>
      </c>
      <c r="B52" s="1" t="s">
        <v>67</v>
      </c>
      <c r="C52" s="3" t="s">
        <v>70</v>
      </c>
      <c r="D52" s="2">
        <v>431</v>
      </c>
      <c r="E52" s="5">
        <v>155</v>
      </c>
      <c r="F52" s="34">
        <f t="shared" si="0"/>
        <v>0.35962877030162416</v>
      </c>
      <c r="G52" s="66" t="s">
        <v>138</v>
      </c>
      <c r="H52" s="70">
        <v>36</v>
      </c>
      <c r="I52" s="70">
        <v>729</v>
      </c>
      <c r="J52" s="70">
        <v>1975</v>
      </c>
    </row>
    <row r="53" spans="1:20" x14ac:dyDescent="0.2">
      <c r="A53" s="1" t="s">
        <v>71</v>
      </c>
      <c r="B53" s="1" t="s">
        <v>18</v>
      </c>
      <c r="C53" s="3" t="s">
        <v>70</v>
      </c>
      <c r="D53" s="2">
        <v>57</v>
      </c>
      <c r="E53" s="5">
        <v>24</v>
      </c>
      <c r="F53" s="34">
        <f t="shared" si="0"/>
        <v>0.42105263157894735</v>
      </c>
      <c r="G53" s="66" t="s">
        <v>138</v>
      </c>
      <c r="H53" s="70">
        <v>36</v>
      </c>
      <c r="I53" s="70">
        <v>729</v>
      </c>
      <c r="J53" s="70">
        <v>1975</v>
      </c>
    </row>
    <row r="54" spans="1:20" x14ac:dyDescent="0.2">
      <c r="A54" s="1" t="s">
        <v>71</v>
      </c>
      <c r="B54" s="1" t="s">
        <v>50</v>
      </c>
      <c r="C54" s="3" t="s">
        <v>70</v>
      </c>
      <c r="D54" s="2">
        <v>86</v>
      </c>
      <c r="E54" s="5">
        <v>49</v>
      </c>
      <c r="F54" s="34">
        <f t="shared" si="0"/>
        <v>0.56976744186046513</v>
      </c>
      <c r="G54" s="66" t="s">
        <v>138</v>
      </c>
      <c r="H54" s="70">
        <v>36</v>
      </c>
      <c r="I54" s="70">
        <v>729</v>
      </c>
      <c r="J54" s="70">
        <v>1975</v>
      </c>
    </row>
    <row r="55" spans="1:20" x14ac:dyDescent="0.2">
      <c r="A55" s="1" t="s">
        <v>71</v>
      </c>
      <c r="B55" s="1" t="s">
        <v>6</v>
      </c>
      <c r="C55" s="3" t="s">
        <v>70</v>
      </c>
      <c r="D55" s="2">
        <v>60</v>
      </c>
      <c r="E55" s="5">
        <v>12</v>
      </c>
      <c r="F55" s="34">
        <f t="shared" si="0"/>
        <v>0.2</v>
      </c>
      <c r="G55" s="66" t="s">
        <v>138</v>
      </c>
      <c r="H55" s="70">
        <v>36</v>
      </c>
      <c r="I55" s="70">
        <v>729</v>
      </c>
      <c r="J55" s="70">
        <v>1975</v>
      </c>
    </row>
    <row r="56" spans="1:20" x14ac:dyDescent="0.2">
      <c r="A56" s="1" t="s">
        <v>71</v>
      </c>
      <c r="B56" s="1" t="s">
        <v>49</v>
      </c>
      <c r="C56" s="3" t="s">
        <v>70</v>
      </c>
      <c r="D56" s="2">
        <v>8</v>
      </c>
      <c r="E56" s="5">
        <v>4</v>
      </c>
      <c r="F56" s="34">
        <f t="shared" si="0"/>
        <v>0.5</v>
      </c>
      <c r="G56" s="66" t="s">
        <v>138</v>
      </c>
      <c r="H56" s="70">
        <v>36</v>
      </c>
      <c r="I56" s="70">
        <v>729</v>
      </c>
      <c r="J56" s="70">
        <v>1975</v>
      </c>
    </row>
    <row r="57" spans="1:20" x14ac:dyDescent="0.2">
      <c r="A57" s="1" t="s">
        <v>71</v>
      </c>
      <c r="B57" s="1" t="s">
        <v>25</v>
      </c>
      <c r="C57" s="3" t="s">
        <v>70</v>
      </c>
      <c r="D57" s="2">
        <v>15</v>
      </c>
      <c r="E57" s="5">
        <v>4</v>
      </c>
      <c r="F57" s="34">
        <f t="shared" si="0"/>
        <v>0.26666666666666666</v>
      </c>
      <c r="G57" s="66" t="s">
        <v>138</v>
      </c>
      <c r="H57" s="70">
        <v>36</v>
      </c>
      <c r="I57" s="70">
        <v>729</v>
      </c>
      <c r="J57" s="70">
        <v>1975</v>
      </c>
    </row>
    <row r="58" spans="1:20" x14ac:dyDescent="0.2">
      <c r="A58" s="1" t="s">
        <v>71</v>
      </c>
      <c r="B58" s="1" t="s">
        <v>23</v>
      </c>
      <c r="C58" s="3" t="s">
        <v>70</v>
      </c>
      <c r="D58" s="2">
        <v>10</v>
      </c>
      <c r="E58" s="5">
        <v>4</v>
      </c>
      <c r="F58" s="34">
        <f t="shared" si="0"/>
        <v>0.4</v>
      </c>
      <c r="G58" s="66" t="s">
        <v>138</v>
      </c>
      <c r="H58" s="70">
        <v>36</v>
      </c>
      <c r="I58" s="70">
        <v>729</v>
      </c>
      <c r="J58" s="70">
        <v>1975</v>
      </c>
    </row>
    <row r="59" spans="1:20" x14ac:dyDescent="0.2">
      <c r="A59" s="1" t="s">
        <v>71</v>
      </c>
      <c r="B59" s="1" t="s">
        <v>17</v>
      </c>
      <c r="C59" s="3" t="s">
        <v>70</v>
      </c>
      <c r="D59" s="2">
        <v>7</v>
      </c>
      <c r="E59" s="5">
        <v>4</v>
      </c>
      <c r="F59" s="34">
        <f t="shared" si="0"/>
        <v>0.5714285714285714</v>
      </c>
      <c r="G59" s="66" t="s">
        <v>138</v>
      </c>
      <c r="H59" s="70">
        <v>36</v>
      </c>
      <c r="I59" s="70">
        <v>729</v>
      </c>
      <c r="J59" s="70">
        <v>1975</v>
      </c>
    </row>
    <row r="60" spans="1:20" s="29" customFormat="1" ht="17" thickBot="1" x14ac:dyDescent="0.25">
      <c r="A60" s="48" t="s">
        <v>71</v>
      </c>
      <c r="B60" s="48" t="s">
        <v>28</v>
      </c>
      <c r="C60" s="49" t="s">
        <v>70</v>
      </c>
      <c r="D60" s="50">
        <v>8</v>
      </c>
      <c r="E60" s="51">
        <v>2</v>
      </c>
      <c r="F60" s="52">
        <f t="shared" si="0"/>
        <v>0.25</v>
      </c>
      <c r="G60" s="66" t="s">
        <v>138</v>
      </c>
      <c r="H60" s="70">
        <v>36</v>
      </c>
      <c r="I60" s="70">
        <v>729</v>
      </c>
      <c r="J60" s="70">
        <v>1975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</row>
    <row r="61" spans="1:20" x14ac:dyDescent="0.2">
      <c r="A61" s="1" t="s">
        <v>72</v>
      </c>
      <c r="B61" s="1" t="s">
        <v>34</v>
      </c>
      <c r="C61" s="3" t="s">
        <v>32</v>
      </c>
      <c r="D61" s="2">
        <v>1123</v>
      </c>
      <c r="E61" s="5">
        <v>334</v>
      </c>
      <c r="F61" s="34">
        <f t="shared" si="0"/>
        <v>0.29741763134461263</v>
      </c>
      <c r="G61" s="66" t="s">
        <v>139</v>
      </c>
      <c r="H61" s="70">
        <v>30</v>
      </c>
      <c r="I61" s="70">
        <v>1402</v>
      </c>
      <c r="J61" s="70">
        <v>1972</v>
      </c>
    </row>
    <row r="62" spans="1:20" x14ac:dyDescent="0.2">
      <c r="A62" s="1" t="s">
        <v>72</v>
      </c>
      <c r="B62" s="1" t="s">
        <v>24</v>
      </c>
      <c r="C62" s="3" t="s">
        <v>32</v>
      </c>
      <c r="D62" s="2">
        <v>509</v>
      </c>
      <c r="E62" s="5">
        <v>168</v>
      </c>
      <c r="F62" s="34">
        <f t="shared" si="0"/>
        <v>0.33005893909626721</v>
      </c>
      <c r="G62" s="66" t="s">
        <v>139</v>
      </c>
      <c r="H62" s="70">
        <v>30</v>
      </c>
      <c r="I62" s="70">
        <v>1402</v>
      </c>
      <c r="J62" s="70">
        <v>1972</v>
      </c>
    </row>
    <row r="63" spans="1:20" x14ac:dyDescent="0.2">
      <c r="A63" s="1" t="s">
        <v>72</v>
      </c>
      <c r="B63" s="1" t="s">
        <v>49</v>
      </c>
      <c r="C63" s="3" t="s">
        <v>32</v>
      </c>
      <c r="D63" s="2">
        <v>23</v>
      </c>
      <c r="E63" s="5">
        <v>3</v>
      </c>
      <c r="F63" s="34">
        <f t="shared" si="0"/>
        <v>0.13043478260869565</v>
      </c>
      <c r="G63" s="66" t="s">
        <v>139</v>
      </c>
      <c r="H63" s="70">
        <v>30</v>
      </c>
      <c r="I63" s="70">
        <v>1402</v>
      </c>
      <c r="J63" s="70">
        <v>1972</v>
      </c>
    </row>
    <row r="64" spans="1:20" x14ac:dyDescent="0.2">
      <c r="A64" s="1" t="s">
        <v>73</v>
      </c>
      <c r="B64" s="1" t="s">
        <v>50</v>
      </c>
      <c r="C64" s="3" t="s">
        <v>32</v>
      </c>
      <c r="D64" s="2">
        <v>38</v>
      </c>
      <c r="E64" s="5">
        <v>4</v>
      </c>
      <c r="F64" s="34">
        <f t="shared" si="0"/>
        <v>0.10526315789473684</v>
      </c>
      <c r="G64" s="66" t="s">
        <v>139</v>
      </c>
      <c r="H64" s="70">
        <v>30</v>
      </c>
      <c r="I64" s="70">
        <v>1402</v>
      </c>
      <c r="J64" s="70">
        <v>1972</v>
      </c>
    </row>
    <row r="65" spans="1:20" x14ac:dyDescent="0.2">
      <c r="A65" s="1" t="s">
        <v>73</v>
      </c>
      <c r="B65" s="1" t="s">
        <v>53</v>
      </c>
      <c r="C65" s="3" t="s">
        <v>32</v>
      </c>
      <c r="D65" s="2">
        <v>19</v>
      </c>
      <c r="E65" s="5">
        <v>6</v>
      </c>
      <c r="F65" s="34">
        <f t="shared" si="0"/>
        <v>0.31578947368421051</v>
      </c>
      <c r="G65" s="66" t="s">
        <v>139</v>
      </c>
      <c r="H65" s="70">
        <v>30</v>
      </c>
      <c r="I65" s="70">
        <v>1402</v>
      </c>
      <c r="J65" s="70">
        <v>1972</v>
      </c>
    </row>
    <row r="66" spans="1:20" x14ac:dyDescent="0.2">
      <c r="A66" s="1" t="s">
        <v>73</v>
      </c>
      <c r="B66" s="1" t="s">
        <v>23</v>
      </c>
      <c r="C66" s="3" t="s">
        <v>32</v>
      </c>
      <c r="D66" s="2">
        <v>167</v>
      </c>
      <c r="E66" s="5">
        <v>56</v>
      </c>
      <c r="F66" s="34">
        <f t="shared" si="0"/>
        <v>0.33532934131736525</v>
      </c>
      <c r="G66" s="66" t="s">
        <v>139</v>
      </c>
      <c r="H66" s="70">
        <v>30</v>
      </c>
      <c r="I66" s="70">
        <v>1402</v>
      </c>
      <c r="J66" s="70">
        <v>1972</v>
      </c>
    </row>
    <row r="67" spans="1:20" x14ac:dyDescent="0.2">
      <c r="A67" s="1" t="s">
        <v>73</v>
      </c>
      <c r="B67" s="1" t="s">
        <v>25</v>
      </c>
      <c r="C67" s="3" t="s">
        <v>32</v>
      </c>
      <c r="D67" s="2">
        <v>158</v>
      </c>
      <c r="E67" s="5">
        <v>12</v>
      </c>
      <c r="F67" s="34">
        <f t="shared" si="0"/>
        <v>7.5949367088607597E-2</v>
      </c>
      <c r="G67" s="66" t="s">
        <v>139</v>
      </c>
      <c r="H67" s="70">
        <v>30</v>
      </c>
      <c r="I67" s="70">
        <v>1402</v>
      </c>
      <c r="J67" s="70">
        <v>1972</v>
      </c>
    </row>
    <row r="68" spans="1:20" x14ac:dyDescent="0.2">
      <c r="A68" s="1" t="s">
        <v>73</v>
      </c>
      <c r="B68" s="1" t="s">
        <v>55</v>
      </c>
      <c r="C68" s="3" t="s">
        <v>32</v>
      </c>
      <c r="D68" s="2">
        <v>95</v>
      </c>
      <c r="E68" s="5">
        <v>4</v>
      </c>
      <c r="F68" s="34">
        <f t="shared" si="0"/>
        <v>4.2105263157894736E-2</v>
      </c>
      <c r="G68" s="66" t="s">
        <v>139</v>
      </c>
      <c r="H68" s="70">
        <v>30</v>
      </c>
      <c r="I68" s="70">
        <v>1402</v>
      </c>
      <c r="J68" s="70">
        <v>1972</v>
      </c>
    </row>
    <row r="69" spans="1:20" x14ac:dyDescent="0.2">
      <c r="A69" s="1" t="s">
        <v>73</v>
      </c>
      <c r="B69" s="1" t="s">
        <v>58</v>
      </c>
      <c r="C69" s="3" t="s">
        <v>32</v>
      </c>
      <c r="D69" s="2">
        <v>60</v>
      </c>
      <c r="E69" s="5">
        <v>0</v>
      </c>
      <c r="F69" s="34">
        <f t="shared" si="0"/>
        <v>0</v>
      </c>
      <c r="G69" s="66" t="s">
        <v>139</v>
      </c>
      <c r="H69" s="70">
        <v>30</v>
      </c>
      <c r="I69" s="70">
        <v>1402</v>
      </c>
      <c r="J69" s="70">
        <v>1972</v>
      </c>
    </row>
    <row r="70" spans="1:20" x14ac:dyDescent="0.2">
      <c r="A70" s="1" t="s">
        <v>73</v>
      </c>
      <c r="B70" s="1" t="s">
        <v>17</v>
      </c>
      <c r="C70" s="3" t="s">
        <v>32</v>
      </c>
      <c r="D70" s="2">
        <v>43</v>
      </c>
      <c r="E70" s="5">
        <v>4</v>
      </c>
      <c r="F70" s="34">
        <f t="shared" si="0"/>
        <v>9.3023255813953487E-2</v>
      </c>
      <c r="G70" s="66" t="s">
        <v>139</v>
      </c>
      <c r="H70" s="70">
        <v>30</v>
      </c>
      <c r="I70" s="70">
        <v>1402</v>
      </c>
      <c r="J70" s="70">
        <v>1972</v>
      </c>
    </row>
    <row r="71" spans="1:20" x14ac:dyDescent="0.2">
      <c r="A71" s="1" t="s">
        <v>73</v>
      </c>
      <c r="B71" s="1" t="s">
        <v>61</v>
      </c>
      <c r="C71" s="3" t="s">
        <v>32</v>
      </c>
      <c r="D71" s="2">
        <v>109</v>
      </c>
      <c r="E71" s="5">
        <v>12</v>
      </c>
      <c r="F71" s="34">
        <f t="shared" si="0"/>
        <v>0.11009174311926606</v>
      </c>
      <c r="G71" s="66" t="s">
        <v>139</v>
      </c>
      <c r="H71" s="70">
        <v>30</v>
      </c>
      <c r="I71" s="70">
        <v>1402</v>
      </c>
      <c r="J71" s="70">
        <v>1972</v>
      </c>
    </row>
    <row r="72" spans="1:20" x14ac:dyDescent="0.2">
      <c r="A72" s="1" t="s">
        <v>73</v>
      </c>
      <c r="B72" s="1" t="s">
        <v>59</v>
      </c>
      <c r="C72" s="3" t="s">
        <v>32</v>
      </c>
      <c r="D72" s="2">
        <v>16</v>
      </c>
      <c r="E72" s="5">
        <v>0</v>
      </c>
      <c r="F72" s="34">
        <f t="shared" si="0"/>
        <v>0</v>
      </c>
      <c r="G72" s="66" t="s">
        <v>139</v>
      </c>
      <c r="H72" s="70">
        <v>30</v>
      </c>
      <c r="I72" s="70">
        <v>1402</v>
      </c>
      <c r="J72" s="70">
        <v>1972</v>
      </c>
    </row>
    <row r="73" spans="1:20" x14ac:dyDescent="0.2">
      <c r="A73" s="1" t="s">
        <v>73</v>
      </c>
      <c r="B73" s="1" t="s">
        <v>67</v>
      </c>
      <c r="C73" s="3" t="s">
        <v>32</v>
      </c>
      <c r="D73" s="2">
        <v>13</v>
      </c>
      <c r="E73" s="5">
        <v>0</v>
      </c>
      <c r="F73" s="34">
        <f t="shared" si="0"/>
        <v>0</v>
      </c>
      <c r="G73" s="66" t="s">
        <v>139</v>
      </c>
      <c r="H73" s="70">
        <v>30</v>
      </c>
      <c r="I73" s="70">
        <v>1402</v>
      </c>
      <c r="J73" s="70">
        <v>1972</v>
      </c>
    </row>
    <row r="74" spans="1:20" x14ac:dyDescent="0.2">
      <c r="A74" s="1" t="s">
        <v>73</v>
      </c>
      <c r="B74" s="1" t="s">
        <v>26</v>
      </c>
      <c r="C74" s="3" t="s">
        <v>32</v>
      </c>
      <c r="D74" s="2">
        <v>135</v>
      </c>
      <c r="E74" s="5">
        <v>29</v>
      </c>
      <c r="F74" s="34">
        <f t="shared" si="0"/>
        <v>0.21481481481481482</v>
      </c>
      <c r="G74" s="66" t="s">
        <v>139</v>
      </c>
      <c r="H74" s="70">
        <v>30</v>
      </c>
      <c r="I74" s="70">
        <v>1402</v>
      </c>
      <c r="J74" s="70">
        <v>1972</v>
      </c>
    </row>
    <row r="75" spans="1:20" x14ac:dyDescent="0.2">
      <c r="A75" s="1" t="s">
        <v>73</v>
      </c>
      <c r="B75" s="1" t="s">
        <v>20</v>
      </c>
      <c r="C75" s="3" t="s">
        <v>32</v>
      </c>
      <c r="D75" s="2">
        <v>36</v>
      </c>
      <c r="E75" s="5">
        <v>4</v>
      </c>
      <c r="F75" s="34">
        <f t="shared" si="0"/>
        <v>0.1111111111111111</v>
      </c>
      <c r="G75" s="66" t="s">
        <v>139</v>
      </c>
      <c r="H75" s="70">
        <v>30</v>
      </c>
      <c r="I75" s="70">
        <v>1402</v>
      </c>
      <c r="J75" s="70">
        <v>1972</v>
      </c>
    </row>
    <row r="76" spans="1:20" x14ac:dyDescent="0.2">
      <c r="A76" s="1" t="s">
        <v>73</v>
      </c>
      <c r="B76" s="1" t="s">
        <v>63</v>
      </c>
      <c r="C76" s="3" t="s">
        <v>32</v>
      </c>
      <c r="D76" s="2">
        <v>172</v>
      </c>
      <c r="E76" s="5">
        <v>26</v>
      </c>
      <c r="F76" s="34">
        <f t="shared" si="0"/>
        <v>0.15116279069767441</v>
      </c>
      <c r="G76" s="66" t="s">
        <v>139</v>
      </c>
      <c r="H76" s="70">
        <v>30</v>
      </c>
      <c r="I76" s="70">
        <v>1402</v>
      </c>
      <c r="J76" s="70">
        <v>1972</v>
      </c>
    </row>
    <row r="77" spans="1:20" s="29" customFormat="1" ht="17" thickBot="1" x14ac:dyDescent="0.25">
      <c r="A77" s="48" t="s">
        <v>73</v>
      </c>
      <c r="B77" s="48" t="s">
        <v>6</v>
      </c>
      <c r="C77" s="49" t="s">
        <v>32</v>
      </c>
      <c r="D77" s="50">
        <v>124</v>
      </c>
      <c r="E77" s="51">
        <v>30</v>
      </c>
      <c r="F77" s="52">
        <f t="shared" si="0"/>
        <v>0.24193548387096775</v>
      </c>
      <c r="G77" s="66" t="s">
        <v>139</v>
      </c>
      <c r="H77" s="70">
        <v>30</v>
      </c>
      <c r="I77" s="70">
        <v>1402</v>
      </c>
      <c r="J77" s="70">
        <v>1972</v>
      </c>
      <c r="K77" s="71"/>
      <c r="L77" s="71"/>
      <c r="M77" s="71"/>
      <c r="N77" s="71"/>
      <c r="O77" s="71"/>
      <c r="P77" s="71"/>
      <c r="Q77" s="71"/>
      <c r="R77" s="71"/>
      <c r="S77" s="71"/>
      <c r="T77" s="71"/>
    </row>
    <row r="78" spans="1:20" x14ac:dyDescent="0.2">
      <c r="A78" s="1" t="s">
        <v>74</v>
      </c>
      <c r="B78" s="1" t="s">
        <v>25</v>
      </c>
      <c r="C78" s="3" t="s">
        <v>36</v>
      </c>
      <c r="D78" s="2">
        <v>48</v>
      </c>
      <c r="E78" s="5">
        <v>5</v>
      </c>
      <c r="F78" s="34">
        <f t="shared" si="0"/>
        <v>0.10416666666666667</v>
      </c>
      <c r="G78" s="66" t="s">
        <v>140</v>
      </c>
      <c r="H78" s="70">
        <v>92</v>
      </c>
      <c r="I78" s="70">
        <v>681</v>
      </c>
      <c r="J78" s="70">
        <v>1980</v>
      </c>
    </row>
    <row r="79" spans="1:20" x14ac:dyDescent="0.2">
      <c r="A79" s="1" t="s">
        <v>74</v>
      </c>
      <c r="B79" s="1" t="s">
        <v>6</v>
      </c>
      <c r="C79" s="3" t="s">
        <v>36</v>
      </c>
      <c r="D79" s="2">
        <v>83</v>
      </c>
      <c r="E79" s="5">
        <v>19</v>
      </c>
      <c r="F79" s="34">
        <f t="shared" si="0"/>
        <v>0.2289156626506024</v>
      </c>
      <c r="G79" s="66" t="s">
        <v>140</v>
      </c>
      <c r="H79" s="70">
        <v>92</v>
      </c>
      <c r="I79" s="70">
        <v>681</v>
      </c>
      <c r="J79" s="70">
        <v>1980</v>
      </c>
    </row>
    <row r="80" spans="1:20" x14ac:dyDescent="0.2">
      <c r="A80" s="1" t="s">
        <v>74</v>
      </c>
      <c r="B80" s="1" t="s">
        <v>75</v>
      </c>
      <c r="C80" s="3" t="s">
        <v>36</v>
      </c>
      <c r="D80" s="2">
        <v>45</v>
      </c>
      <c r="E80" s="5">
        <v>12</v>
      </c>
      <c r="F80" s="34">
        <f t="shared" si="0"/>
        <v>0.26666666666666666</v>
      </c>
      <c r="G80" s="66" t="s">
        <v>140</v>
      </c>
      <c r="H80" s="70">
        <v>92</v>
      </c>
      <c r="I80" s="70">
        <v>681</v>
      </c>
      <c r="J80" s="70">
        <v>1980</v>
      </c>
    </row>
    <row r="81" spans="1:20" x14ac:dyDescent="0.2">
      <c r="A81" s="1" t="s">
        <v>74</v>
      </c>
      <c r="B81" s="1" t="s">
        <v>27</v>
      </c>
      <c r="C81" s="3" t="s">
        <v>36</v>
      </c>
      <c r="D81" s="2">
        <v>10</v>
      </c>
      <c r="E81" s="5">
        <v>4</v>
      </c>
      <c r="F81" s="34">
        <f t="shared" si="0"/>
        <v>0.4</v>
      </c>
      <c r="G81" s="66" t="s">
        <v>140</v>
      </c>
      <c r="H81" s="70">
        <v>92</v>
      </c>
      <c r="I81" s="70">
        <v>681</v>
      </c>
      <c r="J81" s="70">
        <v>1980</v>
      </c>
    </row>
    <row r="82" spans="1:20" x14ac:dyDescent="0.2">
      <c r="A82" s="1" t="s">
        <v>74</v>
      </c>
      <c r="B82" s="1" t="s">
        <v>50</v>
      </c>
      <c r="C82" s="3" t="s">
        <v>36</v>
      </c>
      <c r="D82" s="2">
        <v>15</v>
      </c>
      <c r="E82" s="5">
        <v>1</v>
      </c>
      <c r="F82" s="34">
        <f t="shared" si="0"/>
        <v>6.6666666666666666E-2</v>
      </c>
      <c r="G82" s="66" t="s">
        <v>140</v>
      </c>
      <c r="H82" s="70">
        <v>92</v>
      </c>
      <c r="I82" s="70">
        <v>681</v>
      </c>
      <c r="J82" s="70">
        <v>1980</v>
      </c>
    </row>
    <row r="83" spans="1:20" s="29" customFormat="1" ht="17" thickBot="1" x14ac:dyDescent="0.25">
      <c r="A83" s="48" t="s">
        <v>74</v>
      </c>
      <c r="B83" s="48" t="s">
        <v>76</v>
      </c>
      <c r="C83" s="49" t="s">
        <v>36</v>
      </c>
      <c r="D83" s="50">
        <v>319</v>
      </c>
      <c r="E83" s="51">
        <v>56</v>
      </c>
      <c r="F83" s="52">
        <f t="shared" si="0"/>
        <v>0.17554858934169279</v>
      </c>
      <c r="G83" s="66" t="s">
        <v>140</v>
      </c>
      <c r="H83" s="70">
        <v>92</v>
      </c>
      <c r="I83" s="70">
        <v>681</v>
      </c>
      <c r="J83" s="70">
        <v>1980</v>
      </c>
      <c r="K83" s="71"/>
      <c r="L83" s="71"/>
      <c r="M83" s="71"/>
      <c r="N83" s="71"/>
      <c r="O83" s="71"/>
      <c r="P83" s="71"/>
      <c r="Q83" s="71"/>
      <c r="R83" s="71"/>
      <c r="S83" s="71"/>
      <c r="T83" s="71"/>
    </row>
    <row r="84" spans="1:20" x14ac:dyDescent="0.2">
      <c r="A84" s="1" t="s">
        <v>77</v>
      </c>
      <c r="B84" s="1" t="s">
        <v>25</v>
      </c>
      <c r="C84" s="3" t="s">
        <v>30</v>
      </c>
      <c r="D84" s="2">
        <v>392</v>
      </c>
      <c r="E84" s="5">
        <v>84</v>
      </c>
      <c r="F84" s="34">
        <f t="shared" si="0"/>
        <v>0.21428571428571427</v>
      </c>
      <c r="G84" s="66" t="s">
        <v>139</v>
      </c>
      <c r="H84" s="70">
        <v>34</v>
      </c>
      <c r="I84" s="70">
        <v>1576</v>
      </c>
      <c r="J84" s="70">
        <v>1972</v>
      </c>
    </row>
    <row r="85" spans="1:20" x14ac:dyDescent="0.2">
      <c r="A85" s="1" t="s">
        <v>77</v>
      </c>
      <c r="B85" s="1" t="s">
        <v>26</v>
      </c>
      <c r="C85" s="3" t="s">
        <v>30</v>
      </c>
      <c r="D85" s="2">
        <v>211</v>
      </c>
      <c r="E85" s="5">
        <v>63</v>
      </c>
      <c r="F85" s="34">
        <f t="shared" si="0"/>
        <v>0.29857819905213268</v>
      </c>
      <c r="G85" s="66" t="s">
        <v>139</v>
      </c>
      <c r="H85" s="70">
        <v>34</v>
      </c>
      <c r="I85" s="70">
        <v>1576</v>
      </c>
      <c r="J85" s="70">
        <v>1972</v>
      </c>
    </row>
    <row r="86" spans="1:20" x14ac:dyDescent="0.2">
      <c r="A86" s="1" t="s">
        <v>77</v>
      </c>
      <c r="B86" s="1" t="s">
        <v>67</v>
      </c>
      <c r="C86" s="3" t="s">
        <v>30</v>
      </c>
      <c r="D86" s="2">
        <v>11</v>
      </c>
      <c r="E86" s="5">
        <v>3</v>
      </c>
      <c r="F86" s="34">
        <f t="shared" si="0"/>
        <v>0.27272727272727271</v>
      </c>
      <c r="G86" s="66" t="s">
        <v>139</v>
      </c>
      <c r="H86" s="70">
        <v>34</v>
      </c>
      <c r="I86" s="70">
        <v>1576</v>
      </c>
      <c r="J86" s="70">
        <v>1972</v>
      </c>
    </row>
    <row r="87" spans="1:20" x14ac:dyDescent="0.2">
      <c r="A87" s="1" t="s">
        <v>77</v>
      </c>
      <c r="B87" s="1" t="s">
        <v>28</v>
      </c>
      <c r="C87" s="3" t="s">
        <v>30</v>
      </c>
      <c r="D87" s="2">
        <v>33</v>
      </c>
      <c r="E87" s="5">
        <v>6</v>
      </c>
      <c r="F87" s="34">
        <f t="shared" si="0"/>
        <v>0.18181818181818182</v>
      </c>
      <c r="G87" s="66" t="s">
        <v>139</v>
      </c>
      <c r="H87" s="70">
        <v>34</v>
      </c>
      <c r="I87" s="70">
        <v>1576</v>
      </c>
      <c r="J87" s="70">
        <v>1972</v>
      </c>
    </row>
    <row r="88" spans="1:20" x14ac:dyDescent="0.2">
      <c r="A88" s="1" t="s">
        <v>77</v>
      </c>
      <c r="B88" s="1" t="s">
        <v>34</v>
      </c>
      <c r="C88" s="3" t="s">
        <v>30</v>
      </c>
      <c r="D88" s="2">
        <v>23</v>
      </c>
      <c r="E88" s="5">
        <v>3</v>
      </c>
      <c r="F88" s="34">
        <f t="shared" si="0"/>
        <v>0.13043478260869565</v>
      </c>
      <c r="G88" s="66" t="s">
        <v>139</v>
      </c>
      <c r="H88" s="70">
        <v>34</v>
      </c>
      <c r="I88" s="70">
        <v>1576</v>
      </c>
      <c r="J88" s="70">
        <v>1972</v>
      </c>
    </row>
    <row r="89" spans="1:20" x14ac:dyDescent="0.2">
      <c r="A89" s="1" t="s">
        <v>77</v>
      </c>
      <c r="B89" s="1" t="s">
        <v>49</v>
      </c>
      <c r="C89" s="3" t="s">
        <v>30</v>
      </c>
      <c r="D89" s="2">
        <v>18</v>
      </c>
      <c r="E89" s="5">
        <v>3</v>
      </c>
      <c r="F89" s="34">
        <f t="shared" si="0"/>
        <v>0.16666666666666666</v>
      </c>
      <c r="G89" s="66" t="s">
        <v>139</v>
      </c>
      <c r="H89" s="70">
        <v>34</v>
      </c>
      <c r="I89" s="70">
        <v>1576</v>
      </c>
      <c r="J89" s="70">
        <v>1972</v>
      </c>
    </row>
    <row r="90" spans="1:20" x14ac:dyDescent="0.2">
      <c r="A90" s="1" t="s">
        <v>77</v>
      </c>
      <c r="B90" s="1" t="s">
        <v>20</v>
      </c>
      <c r="C90" s="3" t="s">
        <v>30</v>
      </c>
      <c r="D90" s="2">
        <v>31</v>
      </c>
      <c r="E90" s="5">
        <v>6</v>
      </c>
      <c r="F90" s="34">
        <f t="shared" si="0"/>
        <v>0.19354838709677419</v>
      </c>
      <c r="G90" s="66" t="s">
        <v>139</v>
      </c>
      <c r="H90" s="70">
        <v>34</v>
      </c>
      <c r="I90" s="70">
        <v>1576</v>
      </c>
      <c r="J90" s="70">
        <v>1972</v>
      </c>
    </row>
    <row r="91" spans="1:20" x14ac:dyDescent="0.2">
      <c r="A91" s="1" t="s">
        <v>77</v>
      </c>
      <c r="B91" s="1" t="s">
        <v>61</v>
      </c>
      <c r="C91" s="3" t="s">
        <v>30</v>
      </c>
      <c r="D91" s="2">
        <v>16</v>
      </c>
      <c r="E91" s="5">
        <v>3</v>
      </c>
      <c r="F91" s="34">
        <f t="shared" si="0"/>
        <v>0.1875</v>
      </c>
      <c r="G91" s="66" t="s">
        <v>139</v>
      </c>
      <c r="H91" s="70">
        <v>34</v>
      </c>
      <c r="I91" s="70">
        <v>1576</v>
      </c>
      <c r="J91" s="70">
        <v>1972</v>
      </c>
    </row>
    <row r="92" spans="1:20" s="29" customFormat="1" ht="17" thickBot="1" x14ac:dyDescent="0.25">
      <c r="A92" s="48" t="s">
        <v>77</v>
      </c>
      <c r="B92" s="48" t="s">
        <v>19</v>
      </c>
      <c r="C92" s="49" t="s">
        <v>30</v>
      </c>
      <c r="D92" s="50">
        <v>15</v>
      </c>
      <c r="E92" s="51">
        <v>2</v>
      </c>
      <c r="F92" s="52">
        <f t="shared" si="0"/>
        <v>0.13333333333333333</v>
      </c>
      <c r="G92" s="66" t="s">
        <v>139</v>
      </c>
      <c r="H92" s="70">
        <v>34</v>
      </c>
      <c r="I92" s="70">
        <v>1576</v>
      </c>
      <c r="J92" s="70">
        <v>1972</v>
      </c>
      <c r="K92" s="71"/>
      <c r="L92" s="71"/>
      <c r="M92" s="71"/>
      <c r="N92" s="71"/>
      <c r="O92" s="71"/>
      <c r="P92" s="71"/>
      <c r="Q92" s="71"/>
      <c r="R92" s="71"/>
      <c r="S92" s="71"/>
      <c r="T92" s="71"/>
    </row>
    <row r="93" spans="1:20" x14ac:dyDescent="0.2">
      <c r="A93" s="1" t="s">
        <v>78</v>
      </c>
      <c r="B93" s="1" t="s">
        <v>25</v>
      </c>
      <c r="C93" s="3" t="s">
        <v>8</v>
      </c>
      <c r="D93" s="2">
        <v>2107</v>
      </c>
      <c r="E93" s="5">
        <v>454</v>
      </c>
      <c r="F93" s="34">
        <f t="shared" si="0"/>
        <v>0.21547223540579022</v>
      </c>
      <c r="G93" s="66" t="s">
        <v>141</v>
      </c>
      <c r="H93" s="70">
        <v>1</v>
      </c>
      <c r="I93" s="70">
        <v>111</v>
      </c>
      <c r="J93" s="70">
        <v>1974</v>
      </c>
    </row>
    <row r="94" spans="1:20" x14ac:dyDescent="0.2">
      <c r="A94" s="1" t="s">
        <v>78</v>
      </c>
      <c r="B94" s="1" t="s">
        <v>79</v>
      </c>
      <c r="C94" s="3" t="s">
        <v>8</v>
      </c>
      <c r="D94" s="2">
        <v>617</v>
      </c>
      <c r="E94" s="5">
        <v>144</v>
      </c>
      <c r="F94" s="34">
        <f t="shared" si="0"/>
        <v>0.233387358184765</v>
      </c>
      <c r="G94" s="66" t="s">
        <v>141</v>
      </c>
      <c r="H94" s="70">
        <v>1</v>
      </c>
      <c r="I94" s="70">
        <v>111</v>
      </c>
      <c r="J94" s="70">
        <v>1974</v>
      </c>
    </row>
    <row r="95" spans="1:20" x14ac:dyDescent="0.2">
      <c r="A95" s="1" t="s">
        <v>78</v>
      </c>
      <c r="B95" s="1" t="s">
        <v>23</v>
      </c>
      <c r="C95" s="3" t="s">
        <v>8</v>
      </c>
      <c r="D95" s="2">
        <v>111</v>
      </c>
      <c r="E95" s="5">
        <v>19</v>
      </c>
      <c r="F95" s="34">
        <f t="shared" si="0"/>
        <v>0.17117117117117117</v>
      </c>
      <c r="G95" s="66" t="s">
        <v>141</v>
      </c>
      <c r="H95" s="70">
        <v>1</v>
      </c>
      <c r="I95" s="70">
        <v>111</v>
      </c>
      <c r="J95" s="70">
        <v>1974</v>
      </c>
    </row>
    <row r="96" spans="1:20" x14ac:dyDescent="0.2">
      <c r="A96" s="1" t="s">
        <v>78</v>
      </c>
      <c r="B96" s="1" t="s">
        <v>55</v>
      </c>
      <c r="C96" s="3" t="s">
        <v>8</v>
      </c>
      <c r="D96" s="2">
        <v>50</v>
      </c>
      <c r="E96" s="5">
        <v>2</v>
      </c>
      <c r="F96" s="34">
        <f t="shared" si="0"/>
        <v>0.04</v>
      </c>
      <c r="G96" s="66" t="s">
        <v>141</v>
      </c>
      <c r="H96" s="70">
        <v>1</v>
      </c>
      <c r="I96" s="70">
        <v>111</v>
      </c>
      <c r="J96" s="70">
        <v>1974</v>
      </c>
    </row>
    <row r="97" spans="1:10" x14ac:dyDescent="0.2">
      <c r="A97" s="1" t="s">
        <v>78</v>
      </c>
      <c r="B97" s="1" t="s">
        <v>80</v>
      </c>
      <c r="C97" s="3" t="s">
        <v>8</v>
      </c>
      <c r="D97" s="2">
        <v>35</v>
      </c>
      <c r="E97" s="5">
        <v>1</v>
      </c>
      <c r="F97" s="34">
        <f t="shared" si="0"/>
        <v>2.8571428571428571E-2</v>
      </c>
      <c r="G97" s="66" t="s">
        <v>141</v>
      </c>
      <c r="H97" s="70">
        <v>1</v>
      </c>
      <c r="I97" s="70">
        <v>111</v>
      </c>
      <c r="J97" s="70">
        <v>1974</v>
      </c>
    </row>
    <row r="98" spans="1:10" x14ac:dyDescent="0.2">
      <c r="A98" s="1" t="s">
        <v>78</v>
      </c>
      <c r="B98" s="1" t="s">
        <v>58</v>
      </c>
      <c r="C98" s="3" t="s">
        <v>8</v>
      </c>
      <c r="D98" s="2">
        <v>137</v>
      </c>
      <c r="E98" s="5">
        <v>13</v>
      </c>
      <c r="F98" s="34">
        <f t="shared" si="0"/>
        <v>9.4890510948905105E-2</v>
      </c>
      <c r="G98" s="66" t="s">
        <v>141</v>
      </c>
      <c r="H98" s="70">
        <v>1</v>
      </c>
      <c r="I98" s="70">
        <v>111</v>
      </c>
      <c r="J98" s="70">
        <v>1974</v>
      </c>
    </row>
    <row r="99" spans="1:10" x14ac:dyDescent="0.2">
      <c r="A99" s="1" t="s">
        <v>78</v>
      </c>
      <c r="B99" s="1" t="s">
        <v>26</v>
      </c>
      <c r="C99" s="3" t="s">
        <v>8</v>
      </c>
      <c r="D99" s="2">
        <v>218</v>
      </c>
      <c r="E99" s="5">
        <v>35</v>
      </c>
      <c r="F99" s="34">
        <f t="shared" si="0"/>
        <v>0.16055045871559634</v>
      </c>
      <c r="G99" s="66" t="s">
        <v>141</v>
      </c>
      <c r="H99" s="70">
        <v>1</v>
      </c>
      <c r="I99" s="70">
        <v>111</v>
      </c>
      <c r="J99" s="70">
        <v>1974</v>
      </c>
    </row>
    <row r="100" spans="1:10" x14ac:dyDescent="0.2">
      <c r="A100" s="1" t="s">
        <v>78</v>
      </c>
      <c r="B100" s="1" t="s">
        <v>59</v>
      </c>
      <c r="C100" s="3" t="s">
        <v>8</v>
      </c>
      <c r="D100" s="2">
        <v>48</v>
      </c>
      <c r="E100" s="5">
        <v>7</v>
      </c>
      <c r="F100" s="34">
        <f t="shared" si="0"/>
        <v>0.14583333333333334</v>
      </c>
      <c r="G100" s="66" t="s">
        <v>141</v>
      </c>
      <c r="H100" s="70">
        <v>1</v>
      </c>
      <c r="I100" s="70">
        <v>111</v>
      </c>
      <c r="J100" s="70">
        <v>1974</v>
      </c>
    </row>
    <row r="101" spans="1:10" x14ac:dyDescent="0.2">
      <c r="A101" s="1" t="s">
        <v>78</v>
      </c>
      <c r="B101" s="1" t="s">
        <v>67</v>
      </c>
      <c r="C101" s="3" t="s">
        <v>8</v>
      </c>
      <c r="D101" s="2">
        <v>28</v>
      </c>
      <c r="E101" s="5">
        <v>4</v>
      </c>
      <c r="F101" s="34">
        <f t="shared" si="0"/>
        <v>0.14285714285714285</v>
      </c>
      <c r="G101" s="66" t="s">
        <v>141</v>
      </c>
      <c r="H101" s="70">
        <v>1</v>
      </c>
      <c r="I101" s="70">
        <v>111</v>
      </c>
      <c r="J101" s="70">
        <v>1974</v>
      </c>
    </row>
    <row r="102" spans="1:10" x14ac:dyDescent="0.2">
      <c r="A102" s="1" t="s">
        <v>78</v>
      </c>
      <c r="B102" s="1" t="s">
        <v>64</v>
      </c>
      <c r="C102" s="3" t="s">
        <v>8</v>
      </c>
      <c r="D102" s="2">
        <v>9</v>
      </c>
      <c r="E102" s="5">
        <v>0</v>
      </c>
      <c r="F102" s="34">
        <f t="shared" si="0"/>
        <v>0</v>
      </c>
      <c r="G102" s="66" t="s">
        <v>141</v>
      </c>
      <c r="H102" s="70">
        <v>1</v>
      </c>
      <c r="I102" s="70">
        <v>111</v>
      </c>
      <c r="J102" s="70">
        <v>1974</v>
      </c>
    </row>
    <row r="103" spans="1:10" x14ac:dyDescent="0.2">
      <c r="A103" s="1" t="s">
        <v>78</v>
      </c>
      <c r="B103" s="1" t="s">
        <v>6</v>
      </c>
      <c r="C103" s="3" t="s">
        <v>8</v>
      </c>
      <c r="D103" s="2">
        <v>92</v>
      </c>
      <c r="E103" s="5">
        <v>8</v>
      </c>
      <c r="F103" s="34">
        <f t="shared" si="0"/>
        <v>8.6956521739130432E-2</v>
      </c>
      <c r="G103" s="66" t="s">
        <v>141</v>
      </c>
      <c r="H103" s="70">
        <v>1</v>
      </c>
      <c r="I103" s="70">
        <v>111</v>
      </c>
      <c r="J103" s="70">
        <v>1974</v>
      </c>
    </row>
    <row r="104" spans="1:10" x14ac:dyDescent="0.2">
      <c r="A104" s="1" t="s">
        <v>78</v>
      </c>
      <c r="B104" s="1" t="s">
        <v>28</v>
      </c>
      <c r="C104" s="3" t="s">
        <v>8</v>
      </c>
      <c r="D104" s="2">
        <v>104</v>
      </c>
      <c r="E104" s="5">
        <v>15</v>
      </c>
      <c r="F104" s="34">
        <f t="shared" si="0"/>
        <v>0.14423076923076922</v>
      </c>
      <c r="G104" s="66" t="s">
        <v>141</v>
      </c>
      <c r="H104" s="70">
        <v>1</v>
      </c>
      <c r="I104" s="70">
        <v>111</v>
      </c>
      <c r="J104" s="70">
        <v>1974</v>
      </c>
    </row>
    <row r="105" spans="1:10" x14ac:dyDescent="0.2">
      <c r="A105" s="1" t="s">
        <v>78</v>
      </c>
      <c r="B105" s="1" t="s">
        <v>27</v>
      </c>
      <c r="C105" s="3" t="s">
        <v>8</v>
      </c>
      <c r="D105" s="2">
        <v>75</v>
      </c>
      <c r="E105" s="5">
        <v>7</v>
      </c>
      <c r="F105" s="34">
        <f t="shared" si="0"/>
        <v>9.3333333333333338E-2</v>
      </c>
      <c r="G105" s="66" t="s">
        <v>141</v>
      </c>
      <c r="H105" s="70">
        <v>1</v>
      </c>
      <c r="I105" s="70">
        <v>111</v>
      </c>
      <c r="J105" s="70">
        <v>1974</v>
      </c>
    </row>
    <row r="106" spans="1:10" x14ac:dyDescent="0.2">
      <c r="A106" s="1" t="s">
        <v>78</v>
      </c>
      <c r="B106" s="1" t="s">
        <v>68</v>
      </c>
      <c r="C106" s="3" t="s">
        <v>8</v>
      </c>
      <c r="D106" s="2">
        <v>77</v>
      </c>
      <c r="E106" s="5">
        <v>12</v>
      </c>
      <c r="F106" s="34">
        <f t="shared" si="0"/>
        <v>0.15584415584415584</v>
      </c>
      <c r="G106" s="66" t="s">
        <v>141</v>
      </c>
      <c r="H106" s="70">
        <v>1</v>
      </c>
      <c r="I106" s="70">
        <v>111</v>
      </c>
      <c r="J106" s="70">
        <v>1974</v>
      </c>
    </row>
    <row r="107" spans="1:10" x14ac:dyDescent="0.2">
      <c r="A107" s="1" t="s">
        <v>82</v>
      </c>
      <c r="B107" s="1" t="s">
        <v>69</v>
      </c>
      <c r="C107" s="3" t="s">
        <v>8</v>
      </c>
      <c r="D107" s="2">
        <v>18</v>
      </c>
      <c r="E107" s="5">
        <v>1</v>
      </c>
      <c r="F107" s="34">
        <f t="shared" si="0"/>
        <v>5.5555555555555552E-2</v>
      </c>
      <c r="G107" s="66" t="s">
        <v>141</v>
      </c>
      <c r="H107" s="70">
        <v>1</v>
      </c>
      <c r="I107" s="70">
        <v>111</v>
      </c>
      <c r="J107" s="70">
        <v>1974</v>
      </c>
    </row>
    <row r="108" spans="1:10" x14ac:dyDescent="0.2">
      <c r="A108" s="1" t="s">
        <v>82</v>
      </c>
      <c r="B108" s="1" t="s">
        <v>19</v>
      </c>
      <c r="C108" s="3" t="s">
        <v>8</v>
      </c>
      <c r="D108" s="2">
        <v>71</v>
      </c>
      <c r="E108" s="5">
        <v>8</v>
      </c>
      <c r="F108" s="34">
        <f t="shared" si="0"/>
        <v>0.11267605633802817</v>
      </c>
      <c r="G108" s="66" t="s">
        <v>141</v>
      </c>
      <c r="H108" s="70">
        <v>1</v>
      </c>
      <c r="I108" s="70">
        <v>111</v>
      </c>
      <c r="J108" s="70">
        <v>1974</v>
      </c>
    </row>
    <row r="109" spans="1:10" x14ac:dyDescent="0.2">
      <c r="A109" s="1" t="s">
        <v>82</v>
      </c>
      <c r="B109" s="1" t="s">
        <v>20</v>
      </c>
      <c r="C109" s="3" t="s">
        <v>8</v>
      </c>
      <c r="D109" s="2">
        <v>151</v>
      </c>
      <c r="E109" s="5">
        <v>16</v>
      </c>
      <c r="F109" s="34">
        <f t="shared" si="0"/>
        <v>0.10596026490066225</v>
      </c>
      <c r="G109" s="66" t="s">
        <v>141</v>
      </c>
      <c r="H109" s="70">
        <v>1</v>
      </c>
      <c r="I109" s="70">
        <v>111</v>
      </c>
      <c r="J109" s="70">
        <v>1974</v>
      </c>
    </row>
    <row r="110" spans="1:10" x14ac:dyDescent="0.2">
      <c r="A110" s="1" t="s">
        <v>82</v>
      </c>
      <c r="B110" s="1" t="s">
        <v>63</v>
      </c>
      <c r="C110" s="3" t="s">
        <v>8</v>
      </c>
      <c r="D110" s="2">
        <v>35</v>
      </c>
      <c r="E110" s="5">
        <v>0</v>
      </c>
      <c r="F110" s="34">
        <f t="shared" si="0"/>
        <v>0</v>
      </c>
      <c r="G110" s="66" t="s">
        <v>141</v>
      </c>
      <c r="H110" s="70">
        <v>1</v>
      </c>
      <c r="I110" s="70">
        <v>111</v>
      </c>
      <c r="J110" s="70">
        <v>1974</v>
      </c>
    </row>
    <row r="111" spans="1:10" x14ac:dyDescent="0.2">
      <c r="A111" s="1" t="s">
        <v>82</v>
      </c>
      <c r="B111" s="1" t="s">
        <v>34</v>
      </c>
      <c r="C111" s="3" t="s">
        <v>8</v>
      </c>
      <c r="D111" s="2">
        <v>58</v>
      </c>
      <c r="E111" s="5">
        <v>9</v>
      </c>
      <c r="F111" s="34">
        <f t="shared" si="0"/>
        <v>0.15517241379310345</v>
      </c>
      <c r="G111" s="66" t="s">
        <v>141</v>
      </c>
      <c r="H111" s="70">
        <v>1</v>
      </c>
      <c r="I111" s="70">
        <v>111</v>
      </c>
      <c r="J111" s="70">
        <v>1974</v>
      </c>
    </row>
    <row r="112" spans="1:10" x14ac:dyDescent="0.2">
      <c r="A112" s="1" t="s">
        <v>82</v>
      </c>
      <c r="B112" s="1" t="s">
        <v>81</v>
      </c>
      <c r="C112" s="3" t="s">
        <v>8</v>
      </c>
      <c r="D112" s="2">
        <v>27</v>
      </c>
      <c r="E112" s="5">
        <v>6</v>
      </c>
      <c r="F112" s="34">
        <f t="shared" si="0"/>
        <v>0.22222222222222221</v>
      </c>
      <c r="G112" s="66" t="s">
        <v>141</v>
      </c>
      <c r="H112" s="70">
        <v>1</v>
      </c>
      <c r="I112" s="70">
        <v>111</v>
      </c>
      <c r="J112" s="70">
        <v>1974</v>
      </c>
    </row>
    <row r="113" spans="1:20" x14ac:dyDescent="0.2">
      <c r="A113" s="1" t="s">
        <v>82</v>
      </c>
      <c r="B113" s="1" t="s">
        <v>24</v>
      </c>
      <c r="C113" s="3" t="s">
        <v>8</v>
      </c>
      <c r="D113" s="2">
        <v>89</v>
      </c>
      <c r="E113" s="5">
        <v>24</v>
      </c>
      <c r="F113" s="34">
        <f t="shared" si="0"/>
        <v>0.2696629213483146</v>
      </c>
      <c r="G113" s="66" t="s">
        <v>141</v>
      </c>
      <c r="H113" s="70">
        <v>1</v>
      </c>
      <c r="I113" s="70">
        <v>111</v>
      </c>
      <c r="J113" s="70">
        <v>1974</v>
      </c>
    </row>
    <row r="114" spans="1:20" x14ac:dyDescent="0.2">
      <c r="A114" s="1" t="s">
        <v>82</v>
      </c>
      <c r="B114" s="1" t="s">
        <v>49</v>
      </c>
      <c r="C114" s="3" t="s">
        <v>8</v>
      </c>
      <c r="D114" s="2">
        <v>37</v>
      </c>
      <c r="E114" s="5">
        <v>5</v>
      </c>
      <c r="F114" s="34">
        <f t="shared" si="0"/>
        <v>0.13513513513513514</v>
      </c>
      <c r="G114" s="66" t="s">
        <v>141</v>
      </c>
      <c r="H114" s="70">
        <v>1</v>
      </c>
      <c r="I114" s="70">
        <v>111</v>
      </c>
      <c r="J114" s="70">
        <v>1974</v>
      </c>
    </row>
    <row r="115" spans="1:20" x14ac:dyDescent="0.2">
      <c r="A115" s="1" t="s">
        <v>82</v>
      </c>
      <c r="B115" s="1" t="s">
        <v>50</v>
      </c>
      <c r="C115" s="3" t="s">
        <v>8</v>
      </c>
      <c r="D115" s="2">
        <v>110</v>
      </c>
      <c r="E115" s="5">
        <v>19</v>
      </c>
      <c r="F115" s="34">
        <f t="shared" si="0"/>
        <v>0.17272727272727273</v>
      </c>
      <c r="G115" s="66" t="s">
        <v>141</v>
      </c>
      <c r="H115" s="70">
        <v>1</v>
      </c>
      <c r="I115" s="70">
        <v>111</v>
      </c>
      <c r="J115" s="70">
        <v>1974</v>
      </c>
    </row>
    <row r="116" spans="1:20" x14ac:dyDescent="0.2">
      <c r="A116" s="1" t="s">
        <v>82</v>
      </c>
      <c r="B116" s="1" t="s">
        <v>17</v>
      </c>
      <c r="C116" s="3" t="s">
        <v>8</v>
      </c>
      <c r="D116" s="2">
        <v>26</v>
      </c>
      <c r="E116" s="5">
        <v>0</v>
      </c>
      <c r="F116" s="34">
        <f t="shared" si="0"/>
        <v>0</v>
      </c>
      <c r="G116" s="66" t="s">
        <v>141</v>
      </c>
      <c r="H116" s="70">
        <v>1</v>
      </c>
      <c r="I116" s="70">
        <v>111</v>
      </c>
      <c r="J116" s="70">
        <v>1974</v>
      </c>
    </row>
    <row r="117" spans="1:20" s="29" customFormat="1" ht="17" thickBot="1" x14ac:dyDescent="0.25">
      <c r="A117" s="48" t="s">
        <v>82</v>
      </c>
      <c r="B117" s="48" t="s">
        <v>61</v>
      </c>
      <c r="C117" s="49" t="s">
        <v>8</v>
      </c>
      <c r="D117" s="50">
        <v>64</v>
      </c>
      <c r="E117" s="51">
        <v>4</v>
      </c>
      <c r="F117" s="52">
        <f t="shared" si="0"/>
        <v>6.25E-2</v>
      </c>
      <c r="G117" s="66" t="s">
        <v>141</v>
      </c>
      <c r="H117" s="70">
        <v>1</v>
      </c>
      <c r="I117" s="70">
        <v>111</v>
      </c>
      <c r="J117" s="70">
        <v>1974</v>
      </c>
      <c r="K117" s="71"/>
      <c r="L117" s="71"/>
      <c r="M117" s="71"/>
      <c r="N117" s="71"/>
      <c r="O117" s="71"/>
      <c r="P117" s="71"/>
      <c r="Q117" s="71"/>
      <c r="R117" s="71"/>
      <c r="S117" s="71"/>
      <c r="T117" s="71"/>
    </row>
    <row r="118" spans="1:20" x14ac:dyDescent="0.2">
      <c r="A118" s="1" t="s">
        <v>83</v>
      </c>
      <c r="B118" s="1" t="s">
        <v>34</v>
      </c>
      <c r="C118" s="3" t="s">
        <v>14</v>
      </c>
      <c r="D118" s="2">
        <v>45</v>
      </c>
      <c r="E118" s="5">
        <v>3</v>
      </c>
      <c r="F118" s="34">
        <f t="shared" si="0"/>
        <v>6.6666666666666666E-2</v>
      </c>
      <c r="G118" s="66" t="s">
        <v>141</v>
      </c>
      <c r="H118" s="70">
        <v>1</v>
      </c>
      <c r="I118" s="70">
        <v>285</v>
      </c>
      <c r="J118" s="70">
        <v>1974</v>
      </c>
    </row>
    <row r="119" spans="1:20" x14ac:dyDescent="0.2">
      <c r="A119" s="1" t="s">
        <v>83</v>
      </c>
      <c r="B119" s="1" t="s">
        <v>24</v>
      </c>
      <c r="C119" s="3" t="s">
        <v>14</v>
      </c>
      <c r="D119" s="2">
        <v>55</v>
      </c>
      <c r="E119" s="5">
        <v>9</v>
      </c>
      <c r="F119" s="34">
        <f t="shared" si="0"/>
        <v>0.16363636363636364</v>
      </c>
      <c r="G119" s="66" t="s">
        <v>141</v>
      </c>
      <c r="H119" s="70">
        <v>1</v>
      </c>
      <c r="I119" s="70">
        <v>285</v>
      </c>
      <c r="J119" s="70">
        <v>1974</v>
      </c>
    </row>
    <row r="120" spans="1:20" x14ac:dyDescent="0.2">
      <c r="A120" s="1" t="s">
        <v>83</v>
      </c>
      <c r="B120" s="1" t="s">
        <v>50</v>
      </c>
      <c r="C120" s="3" t="s">
        <v>14</v>
      </c>
      <c r="D120" s="2">
        <v>52</v>
      </c>
      <c r="E120" s="5">
        <v>8</v>
      </c>
      <c r="F120" s="34">
        <f t="shared" si="0"/>
        <v>0.15384615384615385</v>
      </c>
      <c r="G120" s="66" t="s">
        <v>141</v>
      </c>
      <c r="H120" s="70">
        <v>1</v>
      </c>
      <c r="I120" s="70">
        <v>285</v>
      </c>
      <c r="J120" s="70">
        <v>1974</v>
      </c>
    </row>
    <row r="121" spans="1:20" x14ac:dyDescent="0.2">
      <c r="A121" s="1" t="s">
        <v>83</v>
      </c>
      <c r="B121" s="1" t="s">
        <v>49</v>
      </c>
      <c r="C121" s="3" t="s">
        <v>14</v>
      </c>
      <c r="D121" s="2">
        <v>22</v>
      </c>
      <c r="E121" s="5">
        <v>2</v>
      </c>
      <c r="F121" s="34">
        <f t="shared" si="0"/>
        <v>9.0909090909090912E-2</v>
      </c>
      <c r="G121" s="66" t="s">
        <v>141</v>
      </c>
      <c r="H121" s="70">
        <v>1</v>
      </c>
      <c r="I121" s="70">
        <v>285</v>
      </c>
      <c r="J121" s="70">
        <v>1974</v>
      </c>
    </row>
    <row r="122" spans="1:20" x14ac:dyDescent="0.2">
      <c r="A122" s="1" t="s">
        <v>83</v>
      </c>
      <c r="B122" s="1" t="s">
        <v>55</v>
      </c>
      <c r="C122" s="3" t="s">
        <v>14</v>
      </c>
      <c r="D122" s="2">
        <v>47</v>
      </c>
      <c r="E122" s="5">
        <v>2</v>
      </c>
      <c r="F122" s="34">
        <f t="shared" si="0"/>
        <v>4.2553191489361701E-2</v>
      </c>
      <c r="G122" s="66" t="s">
        <v>141</v>
      </c>
      <c r="H122" s="70">
        <v>1</v>
      </c>
      <c r="I122" s="70">
        <v>285</v>
      </c>
      <c r="J122" s="70">
        <v>1974</v>
      </c>
    </row>
    <row r="123" spans="1:20" x14ac:dyDescent="0.2">
      <c r="A123" s="1" t="s">
        <v>83</v>
      </c>
      <c r="B123" s="1" t="s">
        <v>25</v>
      </c>
      <c r="C123" s="3" t="s">
        <v>14</v>
      </c>
      <c r="D123" s="2">
        <v>43</v>
      </c>
      <c r="E123" s="5">
        <v>1</v>
      </c>
      <c r="F123" s="34">
        <f t="shared" si="0"/>
        <v>2.3255813953488372E-2</v>
      </c>
      <c r="G123" s="66" t="s">
        <v>141</v>
      </c>
      <c r="H123" s="70">
        <v>1</v>
      </c>
      <c r="I123" s="70">
        <v>285</v>
      </c>
      <c r="J123" s="70">
        <v>1974</v>
      </c>
    </row>
    <row r="124" spans="1:20" x14ac:dyDescent="0.2">
      <c r="A124" s="1" t="s">
        <v>83</v>
      </c>
      <c r="B124" s="1" t="s">
        <v>23</v>
      </c>
      <c r="C124" s="3" t="s">
        <v>14</v>
      </c>
      <c r="D124" s="2">
        <v>25</v>
      </c>
      <c r="E124" s="5">
        <v>2</v>
      </c>
      <c r="F124" s="34">
        <f t="shared" si="0"/>
        <v>0.08</v>
      </c>
      <c r="G124" s="66" t="s">
        <v>141</v>
      </c>
      <c r="H124" s="70">
        <v>1</v>
      </c>
      <c r="I124" s="70">
        <v>285</v>
      </c>
      <c r="J124" s="70">
        <v>1974</v>
      </c>
    </row>
    <row r="125" spans="1:20" x14ac:dyDescent="0.2">
      <c r="A125" s="1" t="s">
        <v>83</v>
      </c>
      <c r="B125" s="1" t="s">
        <v>58</v>
      </c>
      <c r="C125" s="3" t="s">
        <v>14</v>
      </c>
      <c r="D125" s="2">
        <v>52</v>
      </c>
      <c r="E125" s="5">
        <v>1</v>
      </c>
      <c r="F125" s="34">
        <f t="shared" si="0"/>
        <v>1.9230769230769232E-2</v>
      </c>
      <c r="G125" s="66" t="s">
        <v>141</v>
      </c>
      <c r="H125" s="70">
        <v>1</v>
      </c>
      <c r="I125" s="70">
        <v>285</v>
      </c>
      <c r="J125" s="70">
        <v>1974</v>
      </c>
    </row>
    <row r="126" spans="1:20" x14ac:dyDescent="0.2">
      <c r="A126" s="1" t="s">
        <v>83</v>
      </c>
      <c r="B126" s="1" t="s">
        <v>59</v>
      </c>
      <c r="C126" s="3" t="s">
        <v>14</v>
      </c>
      <c r="D126" s="2">
        <v>55</v>
      </c>
      <c r="E126" s="5">
        <v>19</v>
      </c>
      <c r="F126" s="34">
        <f t="shared" si="0"/>
        <v>0.34545454545454546</v>
      </c>
      <c r="G126" s="66" t="s">
        <v>141</v>
      </c>
      <c r="H126" s="70">
        <v>1</v>
      </c>
      <c r="I126" s="70">
        <v>285</v>
      </c>
      <c r="J126" s="70">
        <v>1974</v>
      </c>
    </row>
    <row r="127" spans="1:20" x14ac:dyDescent="0.2">
      <c r="A127" s="1" t="s">
        <v>83</v>
      </c>
      <c r="B127" s="1" t="s">
        <v>67</v>
      </c>
      <c r="C127" s="3" t="s">
        <v>14</v>
      </c>
      <c r="D127" s="2">
        <v>79</v>
      </c>
      <c r="E127" s="5">
        <v>9</v>
      </c>
      <c r="F127" s="34">
        <f t="shared" si="0"/>
        <v>0.11392405063291139</v>
      </c>
      <c r="G127" s="66" t="s">
        <v>141</v>
      </c>
      <c r="H127" s="70">
        <v>1</v>
      </c>
      <c r="I127" s="70">
        <v>285</v>
      </c>
      <c r="J127" s="70">
        <v>1974</v>
      </c>
    </row>
    <row r="128" spans="1:20" x14ac:dyDescent="0.2">
      <c r="A128" s="1" t="s">
        <v>83</v>
      </c>
      <c r="B128" s="1" t="s">
        <v>17</v>
      </c>
      <c r="C128" s="3" t="s">
        <v>14</v>
      </c>
      <c r="D128" s="2">
        <v>52</v>
      </c>
      <c r="E128" s="5">
        <v>6</v>
      </c>
      <c r="F128" s="34">
        <f t="shared" si="0"/>
        <v>0.11538461538461539</v>
      </c>
      <c r="G128" s="66" t="s">
        <v>141</v>
      </c>
      <c r="H128" s="70">
        <v>1</v>
      </c>
      <c r="I128" s="70">
        <v>285</v>
      </c>
      <c r="J128" s="70">
        <v>1974</v>
      </c>
    </row>
    <row r="129" spans="1:20" x14ac:dyDescent="0.2">
      <c r="A129" s="1" t="s">
        <v>83</v>
      </c>
      <c r="B129" s="1" t="s">
        <v>61</v>
      </c>
      <c r="C129" s="3" t="s">
        <v>14</v>
      </c>
      <c r="D129" s="2">
        <v>71</v>
      </c>
      <c r="E129" s="5">
        <v>11</v>
      </c>
      <c r="F129" s="34">
        <f t="shared" si="0"/>
        <v>0.15492957746478872</v>
      </c>
      <c r="G129" s="66" t="s">
        <v>141</v>
      </c>
      <c r="H129" s="70">
        <v>1</v>
      </c>
      <c r="I129" s="70">
        <v>285</v>
      </c>
      <c r="J129" s="70">
        <v>1974</v>
      </c>
    </row>
    <row r="130" spans="1:20" x14ac:dyDescent="0.2">
      <c r="A130" s="1" t="s">
        <v>83</v>
      </c>
      <c r="B130" s="1" t="s">
        <v>20</v>
      </c>
      <c r="C130" s="3" t="s">
        <v>14</v>
      </c>
      <c r="D130" s="2">
        <v>127</v>
      </c>
      <c r="E130" s="5">
        <v>29</v>
      </c>
      <c r="F130" s="34">
        <f t="shared" si="0"/>
        <v>0.2283464566929134</v>
      </c>
      <c r="G130" s="66" t="s">
        <v>141</v>
      </c>
      <c r="H130" s="70">
        <v>1</v>
      </c>
      <c r="I130" s="70">
        <v>285</v>
      </c>
      <c r="J130" s="70">
        <v>1974</v>
      </c>
    </row>
    <row r="131" spans="1:20" x14ac:dyDescent="0.2">
      <c r="A131" s="1" t="s">
        <v>83</v>
      </c>
      <c r="B131" s="1" t="s">
        <v>63</v>
      </c>
      <c r="C131" s="3" t="s">
        <v>14</v>
      </c>
      <c r="D131" s="2">
        <v>50</v>
      </c>
      <c r="E131" s="5">
        <v>8</v>
      </c>
      <c r="F131" s="34">
        <f t="shared" si="0"/>
        <v>0.16</v>
      </c>
      <c r="G131" s="66" t="s">
        <v>141</v>
      </c>
      <c r="H131" s="70">
        <v>1</v>
      </c>
      <c r="I131" s="70">
        <v>285</v>
      </c>
      <c r="J131" s="70">
        <v>1974</v>
      </c>
    </row>
    <row r="132" spans="1:20" x14ac:dyDescent="0.2">
      <c r="A132" s="1" t="s">
        <v>83</v>
      </c>
      <c r="B132" s="1" t="s">
        <v>19</v>
      </c>
      <c r="C132" s="3" t="s">
        <v>14</v>
      </c>
      <c r="D132" s="2">
        <v>835</v>
      </c>
      <c r="E132" s="5">
        <v>208</v>
      </c>
      <c r="F132" s="34">
        <f t="shared" si="0"/>
        <v>0.24910179640718563</v>
      </c>
      <c r="G132" s="66" t="s">
        <v>141</v>
      </c>
      <c r="H132" s="70">
        <v>1</v>
      </c>
      <c r="I132" s="70">
        <v>285</v>
      </c>
      <c r="J132" s="70">
        <v>1974</v>
      </c>
    </row>
    <row r="133" spans="1:20" x14ac:dyDescent="0.2">
      <c r="A133" s="1" t="s">
        <v>83</v>
      </c>
      <c r="B133" s="1" t="s">
        <v>28</v>
      </c>
      <c r="C133" s="3" t="s">
        <v>14</v>
      </c>
      <c r="D133" s="2">
        <v>122</v>
      </c>
      <c r="E133" s="5">
        <v>22</v>
      </c>
      <c r="F133" s="34">
        <f t="shared" si="0"/>
        <v>0.18032786885245902</v>
      </c>
      <c r="G133" s="66" t="s">
        <v>141</v>
      </c>
      <c r="H133" s="70">
        <v>1</v>
      </c>
      <c r="I133" s="70">
        <v>285</v>
      </c>
      <c r="J133" s="70">
        <v>1974</v>
      </c>
    </row>
    <row r="134" spans="1:20" x14ac:dyDescent="0.2">
      <c r="A134" s="1" t="s">
        <v>83</v>
      </c>
      <c r="B134" s="1" t="s">
        <v>27</v>
      </c>
      <c r="C134" s="3" t="s">
        <v>14</v>
      </c>
      <c r="D134" s="2">
        <v>133</v>
      </c>
      <c r="E134" s="5">
        <v>17</v>
      </c>
      <c r="F134" s="34">
        <f t="shared" si="0"/>
        <v>0.12781954887218044</v>
      </c>
      <c r="G134" s="66" t="s">
        <v>141</v>
      </c>
      <c r="H134" s="70">
        <v>1</v>
      </c>
      <c r="I134" s="70">
        <v>285</v>
      </c>
      <c r="J134" s="70">
        <v>1974</v>
      </c>
    </row>
    <row r="135" spans="1:20" x14ac:dyDescent="0.2">
      <c r="A135" s="1" t="s">
        <v>83</v>
      </c>
      <c r="B135" s="1" t="s">
        <v>68</v>
      </c>
      <c r="C135" s="3" t="s">
        <v>14</v>
      </c>
      <c r="D135" s="2">
        <v>101</v>
      </c>
      <c r="E135" s="5">
        <v>18</v>
      </c>
      <c r="F135" s="34">
        <f t="shared" si="0"/>
        <v>0.17821782178217821</v>
      </c>
      <c r="G135" s="66" t="s">
        <v>141</v>
      </c>
      <c r="H135" s="70">
        <v>1</v>
      </c>
      <c r="I135" s="70">
        <v>285</v>
      </c>
      <c r="J135" s="70">
        <v>1974</v>
      </c>
    </row>
    <row r="136" spans="1:20" x14ac:dyDescent="0.2">
      <c r="A136" s="1" t="s">
        <v>83</v>
      </c>
      <c r="B136" s="1" t="s">
        <v>26</v>
      </c>
      <c r="C136" s="3" t="s">
        <v>14</v>
      </c>
      <c r="D136" s="2">
        <v>65</v>
      </c>
      <c r="E136" s="5">
        <v>9</v>
      </c>
      <c r="F136" s="34">
        <f t="shared" si="0"/>
        <v>0.13846153846153847</v>
      </c>
      <c r="G136" s="66" t="s">
        <v>141</v>
      </c>
      <c r="H136" s="70">
        <v>1</v>
      </c>
      <c r="I136" s="70">
        <v>285</v>
      </c>
      <c r="J136" s="70">
        <v>1974</v>
      </c>
    </row>
    <row r="137" spans="1:20" x14ac:dyDescent="0.2">
      <c r="A137" s="1" t="s">
        <v>83</v>
      </c>
      <c r="B137" s="1" t="s">
        <v>18</v>
      </c>
      <c r="C137" s="3" t="s">
        <v>14</v>
      </c>
      <c r="D137" s="2">
        <v>34</v>
      </c>
      <c r="E137" s="5">
        <v>0</v>
      </c>
      <c r="F137" s="34">
        <f t="shared" si="0"/>
        <v>0</v>
      </c>
      <c r="G137" s="66" t="s">
        <v>141</v>
      </c>
      <c r="H137" s="70">
        <v>1</v>
      </c>
      <c r="I137" s="70">
        <v>285</v>
      </c>
      <c r="J137" s="70">
        <v>1974</v>
      </c>
    </row>
    <row r="138" spans="1:20" x14ac:dyDescent="0.2">
      <c r="A138" s="1" t="s">
        <v>83</v>
      </c>
      <c r="B138" s="1" t="s">
        <v>6</v>
      </c>
      <c r="C138" s="3" t="s">
        <v>14</v>
      </c>
      <c r="D138" s="2">
        <v>19</v>
      </c>
      <c r="E138" s="5">
        <v>0</v>
      </c>
      <c r="F138" s="34">
        <f t="shared" si="0"/>
        <v>0</v>
      </c>
      <c r="G138" s="66" t="s">
        <v>141</v>
      </c>
      <c r="H138" s="70">
        <v>1</v>
      </c>
      <c r="I138" s="70">
        <v>285</v>
      </c>
      <c r="J138" s="70">
        <v>1974</v>
      </c>
    </row>
    <row r="139" spans="1:20" s="29" customFormat="1" ht="17" thickBot="1" x14ac:dyDescent="0.25">
      <c r="A139" s="48" t="s">
        <v>83</v>
      </c>
      <c r="B139" s="48" t="s">
        <v>21</v>
      </c>
      <c r="C139" s="49" t="s">
        <v>14</v>
      </c>
      <c r="D139" s="50">
        <v>16</v>
      </c>
      <c r="E139" s="51">
        <v>3</v>
      </c>
      <c r="F139" s="52">
        <f t="shared" si="0"/>
        <v>0.1875</v>
      </c>
      <c r="G139" s="66" t="s">
        <v>141</v>
      </c>
      <c r="H139" s="70">
        <v>1</v>
      </c>
      <c r="I139" s="70">
        <v>285</v>
      </c>
      <c r="J139" s="70">
        <v>1974</v>
      </c>
      <c r="K139" s="71"/>
      <c r="L139" s="71"/>
      <c r="M139" s="71"/>
      <c r="N139" s="71"/>
      <c r="O139" s="71"/>
      <c r="P139" s="71"/>
      <c r="Q139" s="71"/>
      <c r="R139" s="71"/>
      <c r="S139" s="71"/>
      <c r="T139" s="71"/>
    </row>
    <row r="140" spans="1:20" x14ac:dyDescent="0.2">
      <c r="A140" s="1" t="s">
        <v>84</v>
      </c>
      <c r="B140" s="1" t="s">
        <v>25</v>
      </c>
      <c r="C140" s="3" t="s">
        <v>29</v>
      </c>
      <c r="D140" s="2">
        <v>212</v>
      </c>
      <c r="E140" s="5">
        <v>60</v>
      </c>
      <c r="F140" s="34">
        <f t="shared" si="0"/>
        <v>0.28301886792452829</v>
      </c>
      <c r="G140" s="66" t="s">
        <v>141</v>
      </c>
      <c r="H140" s="70">
        <v>2</v>
      </c>
      <c r="I140" s="70">
        <v>193</v>
      </c>
      <c r="J140" s="70">
        <v>1975</v>
      </c>
    </row>
    <row r="141" spans="1:20" x14ac:dyDescent="0.2">
      <c r="A141" s="1" t="s">
        <v>84</v>
      </c>
      <c r="B141" s="1" t="s">
        <v>26</v>
      </c>
      <c r="C141" s="3" t="s">
        <v>29</v>
      </c>
      <c r="D141" s="2">
        <v>44</v>
      </c>
      <c r="E141" s="5">
        <v>12</v>
      </c>
      <c r="F141" s="34">
        <f t="shared" si="0"/>
        <v>0.27272727272727271</v>
      </c>
      <c r="G141" s="66" t="s">
        <v>141</v>
      </c>
      <c r="H141" s="70">
        <v>2</v>
      </c>
      <c r="I141" s="70">
        <v>193</v>
      </c>
      <c r="J141" s="70">
        <v>1975</v>
      </c>
    </row>
    <row r="142" spans="1:20" x14ac:dyDescent="0.2">
      <c r="A142" s="1" t="s">
        <v>84</v>
      </c>
      <c r="B142" s="1" t="s">
        <v>34</v>
      </c>
      <c r="C142" s="3" t="s">
        <v>29</v>
      </c>
      <c r="D142" s="2">
        <v>7</v>
      </c>
      <c r="E142" s="5">
        <v>1</v>
      </c>
      <c r="F142" s="34">
        <f t="shared" si="0"/>
        <v>0.14285714285714285</v>
      </c>
      <c r="G142" s="66" t="s">
        <v>141</v>
      </c>
      <c r="H142" s="70">
        <v>2</v>
      </c>
      <c r="I142" s="70">
        <v>193</v>
      </c>
      <c r="J142" s="70">
        <v>1975</v>
      </c>
    </row>
    <row r="143" spans="1:20" x14ac:dyDescent="0.2">
      <c r="A143" s="1" t="s">
        <v>84</v>
      </c>
      <c r="B143" s="1" t="s">
        <v>28</v>
      </c>
      <c r="C143" s="3" t="s">
        <v>29</v>
      </c>
      <c r="D143" s="2">
        <v>37</v>
      </c>
      <c r="E143" s="5">
        <v>0</v>
      </c>
      <c r="F143" s="34">
        <f t="shared" si="0"/>
        <v>0</v>
      </c>
      <c r="G143" s="66" t="s">
        <v>141</v>
      </c>
      <c r="H143" s="70">
        <v>2</v>
      </c>
      <c r="I143" s="70">
        <v>193</v>
      </c>
      <c r="J143" s="70">
        <v>1975</v>
      </c>
    </row>
    <row r="144" spans="1:20" x14ac:dyDescent="0.2">
      <c r="A144" s="1" t="s">
        <v>84</v>
      </c>
      <c r="B144" s="1" t="s">
        <v>27</v>
      </c>
      <c r="C144" s="3" t="s">
        <v>29</v>
      </c>
      <c r="D144" s="2">
        <v>19</v>
      </c>
      <c r="E144" s="5">
        <v>3</v>
      </c>
      <c r="F144" s="34">
        <f t="shared" si="0"/>
        <v>0.15789473684210525</v>
      </c>
      <c r="G144" s="66" t="s">
        <v>141</v>
      </c>
      <c r="H144" s="70">
        <v>2</v>
      </c>
      <c r="I144" s="70">
        <v>193</v>
      </c>
      <c r="J144" s="70">
        <v>1975</v>
      </c>
    </row>
    <row r="145" spans="1:20" x14ac:dyDescent="0.2">
      <c r="A145" s="1" t="s">
        <v>84</v>
      </c>
      <c r="B145" s="1" t="s">
        <v>68</v>
      </c>
      <c r="C145" s="3" t="s">
        <v>29</v>
      </c>
      <c r="D145" s="2">
        <v>13</v>
      </c>
      <c r="E145" s="5">
        <v>0</v>
      </c>
      <c r="F145" s="34">
        <f t="shared" si="0"/>
        <v>0</v>
      </c>
      <c r="G145" s="66" t="s">
        <v>141</v>
      </c>
      <c r="H145" s="70">
        <v>2</v>
      </c>
      <c r="I145" s="70">
        <v>193</v>
      </c>
      <c r="J145" s="70">
        <v>1975</v>
      </c>
    </row>
    <row r="146" spans="1:20" x14ac:dyDescent="0.2">
      <c r="A146" s="1" t="s">
        <v>84</v>
      </c>
      <c r="B146" s="1" t="s">
        <v>69</v>
      </c>
      <c r="C146" s="3" t="s">
        <v>29</v>
      </c>
      <c r="D146" s="2">
        <v>27</v>
      </c>
      <c r="E146" s="5">
        <v>3</v>
      </c>
      <c r="F146" s="34">
        <f t="shared" si="0"/>
        <v>0.1111111111111111</v>
      </c>
      <c r="G146" s="66" t="s">
        <v>141</v>
      </c>
      <c r="H146" s="70">
        <v>2</v>
      </c>
      <c r="I146" s="70">
        <v>193</v>
      </c>
      <c r="J146" s="70">
        <v>1975</v>
      </c>
    </row>
    <row r="147" spans="1:20" ht="17" thickBot="1" x14ac:dyDescent="0.25">
      <c r="A147" s="1" t="s">
        <v>84</v>
      </c>
      <c r="B147" s="1" t="s">
        <v>19</v>
      </c>
      <c r="C147" s="3" t="s">
        <v>29</v>
      </c>
      <c r="D147" s="2">
        <v>12</v>
      </c>
      <c r="E147" s="5">
        <v>0</v>
      </c>
      <c r="F147" s="34">
        <f t="shared" si="0"/>
        <v>0</v>
      </c>
      <c r="G147" s="66" t="s">
        <v>141</v>
      </c>
      <c r="H147" s="70">
        <v>2</v>
      </c>
      <c r="I147" s="70">
        <v>193</v>
      </c>
      <c r="J147" s="70">
        <v>1975</v>
      </c>
    </row>
    <row r="148" spans="1:20" s="16" customFormat="1" x14ac:dyDescent="0.2">
      <c r="A148" s="11" t="s">
        <v>85</v>
      </c>
      <c r="B148" s="11" t="s">
        <v>24</v>
      </c>
      <c r="C148" s="12" t="s">
        <v>1</v>
      </c>
      <c r="D148" s="14">
        <v>529</v>
      </c>
      <c r="E148" s="15">
        <v>182</v>
      </c>
      <c r="F148" s="33">
        <f t="shared" si="0"/>
        <v>0.34404536862003782</v>
      </c>
      <c r="G148" s="66" t="s">
        <v>141</v>
      </c>
      <c r="H148" s="70">
        <v>3</v>
      </c>
      <c r="I148" s="70">
        <v>141</v>
      </c>
      <c r="J148" s="70">
        <v>1976</v>
      </c>
      <c r="K148" s="71"/>
      <c r="L148" s="71"/>
      <c r="M148" s="71"/>
      <c r="N148" s="71"/>
      <c r="O148" s="71"/>
      <c r="P148" s="71"/>
      <c r="Q148" s="71"/>
      <c r="R148" s="71"/>
      <c r="S148" s="71"/>
      <c r="T148" s="71"/>
    </row>
    <row r="149" spans="1:20" x14ac:dyDescent="0.2">
      <c r="A149" s="1" t="s">
        <v>85</v>
      </c>
      <c r="B149" s="1" t="s">
        <v>34</v>
      </c>
      <c r="C149" s="3" t="s">
        <v>1</v>
      </c>
      <c r="D149" s="2">
        <v>92</v>
      </c>
      <c r="E149" s="5">
        <v>32</v>
      </c>
      <c r="F149" s="34">
        <f t="shared" si="0"/>
        <v>0.34782608695652173</v>
      </c>
      <c r="G149" s="66" t="s">
        <v>141</v>
      </c>
      <c r="H149" s="70">
        <v>3</v>
      </c>
      <c r="I149" s="70">
        <v>141</v>
      </c>
      <c r="J149" s="70">
        <v>1976</v>
      </c>
    </row>
    <row r="150" spans="1:20" x14ac:dyDescent="0.2">
      <c r="A150" s="1" t="s">
        <v>85</v>
      </c>
      <c r="B150" s="1" t="s">
        <v>50</v>
      </c>
      <c r="C150" s="3" t="s">
        <v>1</v>
      </c>
      <c r="D150" s="2">
        <v>177</v>
      </c>
      <c r="E150" s="5">
        <v>38</v>
      </c>
      <c r="F150" s="34">
        <f t="shared" si="0"/>
        <v>0.21468926553672316</v>
      </c>
      <c r="G150" s="66" t="s">
        <v>141</v>
      </c>
      <c r="H150" s="70">
        <v>3</v>
      </c>
      <c r="I150" s="70">
        <v>141</v>
      </c>
      <c r="J150" s="70">
        <v>1976</v>
      </c>
    </row>
    <row r="151" spans="1:20" x14ac:dyDescent="0.2">
      <c r="A151" s="1" t="s">
        <v>85</v>
      </c>
      <c r="B151" s="1" t="s">
        <v>49</v>
      </c>
      <c r="C151" s="3" t="s">
        <v>1</v>
      </c>
      <c r="D151" s="2">
        <v>54</v>
      </c>
      <c r="E151" s="5">
        <v>11</v>
      </c>
      <c r="F151" s="34">
        <f t="shared" si="0"/>
        <v>0.20370370370370369</v>
      </c>
      <c r="G151" s="66" t="s">
        <v>141</v>
      </c>
      <c r="H151" s="70">
        <v>3</v>
      </c>
      <c r="I151" s="70">
        <v>141</v>
      </c>
      <c r="J151" s="70">
        <v>1976</v>
      </c>
    </row>
    <row r="152" spans="1:20" x14ac:dyDescent="0.2">
      <c r="A152" s="1" t="s">
        <v>85</v>
      </c>
      <c r="B152" s="1" t="s">
        <v>81</v>
      </c>
      <c r="C152" s="3" t="s">
        <v>1</v>
      </c>
      <c r="D152" s="2">
        <v>162</v>
      </c>
      <c r="E152" s="5">
        <v>48</v>
      </c>
      <c r="F152" s="34">
        <f t="shared" si="0"/>
        <v>0.29629629629629628</v>
      </c>
      <c r="G152" s="66" t="s">
        <v>141</v>
      </c>
      <c r="H152" s="70">
        <v>3</v>
      </c>
      <c r="I152" s="70">
        <v>141</v>
      </c>
      <c r="J152" s="70">
        <v>1976</v>
      </c>
    </row>
    <row r="153" spans="1:20" x14ac:dyDescent="0.2">
      <c r="A153" s="1" t="s">
        <v>85</v>
      </c>
      <c r="B153" s="1" t="s">
        <v>25</v>
      </c>
      <c r="C153" s="3" t="s">
        <v>1</v>
      </c>
      <c r="D153" s="2">
        <v>1263</v>
      </c>
      <c r="E153" s="5">
        <v>324</v>
      </c>
      <c r="F153" s="34">
        <f t="shared" si="0"/>
        <v>0.25653206650831356</v>
      </c>
      <c r="G153" s="66" t="s">
        <v>141</v>
      </c>
      <c r="H153" s="70">
        <v>3</v>
      </c>
      <c r="I153" s="70">
        <v>141</v>
      </c>
      <c r="J153" s="70">
        <v>1976</v>
      </c>
    </row>
    <row r="154" spans="1:20" x14ac:dyDescent="0.2">
      <c r="A154" s="1" t="s">
        <v>85</v>
      </c>
      <c r="B154" s="1" t="s">
        <v>23</v>
      </c>
      <c r="C154" s="3" t="s">
        <v>1</v>
      </c>
      <c r="D154" s="2">
        <v>356</v>
      </c>
      <c r="E154" s="5">
        <v>120</v>
      </c>
      <c r="F154" s="34">
        <f t="shared" si="0"/>
        <v>0.33707865168539325</v>
      </c>
      <c r="G154" s="66" t="s">
        <v>141</v>
      </c>
      <c r="H154" s="70">
        <v>3</v>
      </c>
      <c r="I154" s="70">
        <v>141</v>
      </c>
      <c r="J154" s="70">
        <v>1976</v>
      </c>
    </row>
    <row r="155" spans="1:20" x14ac:dyDescent="0.2">
      <c r="A155" s="1" t="s">
        <v>85</v>
      </c>
      <c r="B155" s="1" t="s">
        <v>55</v>
      </c>
      <c r="C155" s="3" t="s">
        <v>1</v>
      </c>
      <c r="D155" s="2">
        <v>44</v>
      </c>
      <c r="E155" s="5">
        <v>6</v>
      </c>
      <c r="F155" s="34">
        <f t="shared" si="0"/>
        <v>0.13636363636363635</v>
      </c>
      <c r="G155" s="66" t="s">
        <v>141</v>
      </c>
      <c r="H155" s="70">
        <v>3</v>
      </c>
      <c r="I155" s="70">
        <v>141</v>
      </c>
      <c r="J155" s="70">
        <v>1976</v>
      </c>
    </row>
    <row r="156" spans="1:20" x14ac:dyDescent="0.2">
      <c r="A156" s="1" t="s">
        <v>86</v>
      </c>
      <c r="B156" s="1" t="s">
        <v>58</v>
      </c>
      <c r="C156" s="3" t="s">
        <v>1</v>
      </c>
      <c r="D156" s="2">
        <v>64</v>
      </c>
      <c r="E156" s="5">
        <v>6</v>
      </c>
      <c r="F156" s="34">
        <f t="shared" si="0"/>
        <v>9.375E-2</v>
      </c>
      <c r="G156" s="66" t="s">
        <v>141</v>
      </c>
      <c r="H156" s="70">
        <v>3</v>
      </c>
      <c r="I156" s="70">
        <v>141</v>
      </c>
      <c r="J156" s="70">
        <v>1976</v>
      </c>
    </row>
    <row r="157" spans="1:20" x14ac:dyDescent="0.2">
      <c r="A157" s="1" t="s">
        <v>86</v>
      </c>
      <c r="B157" s="1" t="s">
        <v>20</v>
      </c>
      <c r="C157" s="3" t="s">
        <v>1</v>
      </c>
      <c r="D157" s="2">
        <v>16</v>
      </c>
      <c r="E157" s="5">
        <v>2</v>
      </c>
      <c r="F157" s="34">
        <f t="shared" si="0"/>
        <v>0.125</v>
      </c>
      <c r="G157" s="66" t="s">
        <v>141</v>
      </c>
      <c r="H157" s="70">
        <v>3</v>
      </c>
      <c r="I157" s="70">
        <v>141</v>
      </c>
      <c r="J157" s="70">
        <v>1976</v>
      </c>
    </row>
    <row r="158" spans="1:20" x14ac:dyDescent="0.2">
      <c r="A158" s="1" t="s">
        <v>86</v>
      </c>
      <c r="B158" s="1" t="s">
        <v>17</v>
      </c>
      <c r="C158" s="3" t="s">
        <v>1</v>
      </c>
      <c r="D158" s="2">
        <v>226</v>
      </c>
      <c r="E158" s="5">
        <v>47</v>
      </c>
      <c r="F158" s="34">
        <f t="shared" si="0"/>
        <v>0.20796460176991149</v>
      </c>
      <c r="G158" s="66" t="s">
        <v>141</v>
      </c>
      <c r="H158" s="70">
        <v>3</v>
      </c>
      <c r="I158" s="70">
        <v>141</v>
      </c>
      <c r="J158" s="70">
        <v>1976</v>
      </c>
    </row>
    <row r="159" spans="1:20" x14ac:dyDescent="0.2">
      <c r="A159" s="1" t="s">
        <v>86</v>
      </c>
      <c r="B159" s="1" t="s">
        <v>61</v>
      </c>
      <c r="C159" s="3" t="s">
        <v>1</v>
      </c>
      <c r="D159" s="2">
        <v>95</v>
      </c>
      <c r="E159" s="5">
        <v>19</v>
      </c>
      <c r="F159" s="34">
        <f t="shared" si="0"/>
        <v>0.2</v>
      </c>
      <c r="G159" s="66" t="s">
        <v>141</v>
      </c>
      <c r="H159" s="70">
        <v>3</v>
      </c>
      <c r="I159" s="70">
        <v>141</v>
      </c>
      <c r="J159" s="70">
        <v>1976</v>
      </c>
    </row>
    <row r="160" spans="1:20" x14ac:dyDescent="0.2">
      <c r="A160" s="1" t="s">
        <v>86</v>
      </c>
      <c r="B160" s="1" t="s">
        <v>6</v>
      </c>
      <c r="C160" s="3" t="s">
        <v>1</v>
      </c>
      <c r="D160" s="2">
        <v>193</v>
      </c>
      <c r="E160" s="5">
        <v>67</v>
      </c>
      <c r="F160" s="34">
        <f t="shared" si="0"/>
        <v>0.34715025906735753</v>
      </c>
      <c r="G160" s="66" t="s">
        <v>141</v>
      </c>
      <c r="H160" s="70">
        <v>3</v>
      </c>
      <c r="I160" s="70">
        <v>141</v>
      </c>
      <c r="J160" s="70">
        <v>1976</v>
      </c>
    </row>
    <row r="161" spans="1:20" x14ac:dyDescent="0.2">
      <c r="A161" s="1" t="s">
        <v>86</v>
      </c>
      <c r="B161" s="1" t="s">
        <v>26</v>
      </c>
      <c r="C161" s="3" t="s">
        <v>1</v>
      </c>
      <c r="D161" s="2">
        <v>60</v>
      </c>
      <c r="E161" s="5">
        <v>23</v>
      </c>
      <c r="F161" s="34">
        <f t="shared" si="0"/>
        <v>0.38333333333333336</v>
      </c>
      <c r="G161" s="66" t="s">
        <v>141</v>
      </c>
      <c r="H161" s="70">
        <v>3</v>
      </c>
      <c r="I161" s="70">
        <v>141</v>
      </c>
      <c r="J161" s="70">
        <v>1976</v>
      </c>
    </row>
    <row r="162" spans="1:20" x14ac:dyDescent="0.2">
      <c r="A162" s="1" t="s">
        <v>86</v>
      </c>
      <c r="B162" s="1" t="s">
        <v>28</v>
      </c>
      <c r="C162" s="3" t="s">
        <v>1</v>
      </c>
      <c r="D162" s="2">
        <v>76</v>
      </c>
      <c r="E162" s="5">
        <v>16</v>
      </c>
      <c r="F162" s="34">
        <f t="shared" si="0"/>
        <v>0.21052631578947367</v>
      </c>
      <c r="G162" s="66" t="s">
        <v>141</v>
      </c>
      <c r="H162" s="70">
        <v>3</v>
      </c>
      <c r="I162" s="70">
        <v>141</v>
      </c>
      <c r="J162" s="70">
        <v>1976</v>
      </c>
    </row>
    <row r="163" spans="1:20" x14ac:dyDescent="0.2">
      <c r="A163" s="1" t="s">
        <v>86</v>
      </c>
      <c r="B163" s="1" t="s">
        <v>27</v>
      </c>
      <c r="C163" s="3" t="s">
        <v>1</v>
      </c>
      <c r="D163" s="2">
        <v>155</v>
      </c>
      <c r="E163" s="5">
        <v>18</v>
      </c>
      <c r="F163" s="34">
        <f t="shared" si="0"/>
        <v>0.11612903225806452</v>
      </c>
      <c r="G163" s="66" t="s">
        <v>141</v>
      </c>
      <c r="H163" s="70">
        <v>3</v>
      </c>
      <c r="I163" s="70">
        <v>141</v>
      </c>
      <c r="J163" s="70">
        <v>1976</v>
      </c>
    </row>
    <row r="164" spans="1:20" x14ac:dyDescent="0.2">
      <c r="A164" s="1" t="s">
        <v>86</v>
      </c>
      <c r="B164" s="1" t="s">
        <v>68</v>
      </c>
      <c r="C164" s="3" t="s">
        <v>1</v>
      </c>
      <c r="D164" s="2">
        <v>33</v>
      </c>
      <c r="E164" s="5">
        <v>2</v>
      </c>
      <c r="F164" s="34">
        <f t="shared" si="0"/>
        <v>6.0606060606060608E-2</v>
      </c>
      <c r="G164" s="66" t="s">
        <v>141</v>
      </c>
      <c r="H164" s="70">
        <v>3</v>
      </c>
      <c r="I164" s="70">
        <v>141</v>
      </c>
      <c r="J164" s="70">
        <v>1976</v>
      </c>
    </row>
    <row r="165" spans="1:20" ht="17" thickBot="1" x14ac:dyDescent="0.25">
      <c r="A165" s="1" t="s">
        <v>86</v>
      </c>
      <c r="B165" s="1" t="s">
        <v>63</v>
      </c>
      <c r="C165" s="3" t="s">
        <v>1</v>
      </c>
      <c r="D165" s="2">
        <v>21</v>
      </c>
      <c r="E165" s="5">
        <v>1</v>
      </c>
      <c r="F165" s="34">
        <f t="shared" si="0"/>
        <v>4.7619047619047616E-2</v>
      </c>
      <c r="G165" s="66" t="s">
        <v>141</v>
      </c>
      <c r="H165" s="70">
        <v>3</v>
      </c>
      <c r="I165" s="70">
        <v>141</v>
      </c>
      <c r="J165" s="70">
        <v>1976</v>
      </c>
    </row>
    <row r="166" spans="1:20" s="16" customFormat="1" x14ac:dyDescent="0.2">
      <c r="A166" s="11" t="s">
        <v>87</v>
      </c>
      <c r="B166" s="11" t="s">
        <v>24</v>
      </c>
      <c r="C166" s="12" t="s">
        <v>37</v>
      </c>
      <c r="D166" s="14">
        <v>188</v>
      </c>
      <c r="E166" s="15">
        <v>29</v>
      </c>
      <c r="F166" s="33">
        <f t="shared" si="0"/>
        <v>0.15425531914893617</v>
      </c>
      <c r="G166" s="66" t="s">
        <v>141</v>
      </c>
      <c r="H166" s="70">
        <v>4</v>
      </c>
      <c r="I166" s="70">
        <v>25</v>
      </c>
      <c r="J166" s="70">
        <v>1977</v>
      </c>
      <c r="K166" s="71"/>
      <c r="L166" s="71"/>
      <c r="M166" s="71"/>
      <c r="N166" s="71"/>
      <c r="O166" s="71"/>
      <c r="P166" s="71"/>
      <c r="Q166" s="71"/>
      <c r="R166" s="71"/>
      <c r="S166" s="71"/>
      <c r="T166" s="71"/>
    </row>
    <row r="167" spans="1:20" x14ac:dyDescent="0.2">
      <c r="A167" s="1" t="s">
        <v>87</v>
      </c>
      <c r="B167" s="1" t="s">
        <v>25</v>
      </c>
      <c r="C167" s="3" t="s">
        <v>37</v>
      </c>
      <c r="D167" s="2">
        <v>142</v>
      </c>
      <c r="E167" s="5">
        <v>29</v>
      </c>
      <c r="F167" s="34">
        <f t="shared" si="0"/>
        <v>0.20422535211267606</v>
      </c>
      <c r="G167" s="66" t="s">
        <v>141</v>
      </c>
      <c r="H167" s="70">
        <v>4</v>
      </c>
      <c r="I167" s="70">
        <v>25</v>
      </c>
      <c r="J167" s="70">
        <v>1977</v>
      </c>
    </row>
    <row r="168" spans="1:20" x14ac:dyDescent="0.2">
      <c r="A168" s="1" t="s">
        <v>87</v>
      </c>
      <c r="B168" s="1" t="s">
        <v>49</v>
      </c>
      <c r="C168" s="3" t="s">
        <v>37</v>
      </c>
      <c r="D168" s="2">
        <v>44</v>
      </c>
      <c r="E168" s="5">
        <v>11</v>
      </c>
      <c r="F168" s="34">
        <f t="shared" si="0"/>
        <v>0.25</v>
      </c>
      <c r="G168" s="66" t="s">
        <v>141</v>
      </c>
      <c r="H168" s="70">
        <v>4</v>
      </c>
      <c r="I168" s="70">
        <v>25</v>
      </c>
      <c r="J168" s="70">
        <v>1977</v>
      </c>
    </row>
    <row r="169" spans="1:20" x14ac:dyDescent="0.2">
      <c r="A169" s="1" t="s">
        <v>87</v>
      </c>
      <c r="B169" s="1" t="s">
        <v>50</v>
      </c>
      <c r="C169" s="3" t="s">
        <v>37</v>
      </c>
      <c r="D169" s="2">
        <v>20</v>
      </c>
      <c r="E169" s="5">
        <v>4</v>
      </c>
      <c r="F169" s="34">
        <f t="shared" si="0"/>
        <v>0.2</v>
      </c>
      <c r="G169" s="66" t="s">
        <v>141</v>
      </c>
      <c r="H169" s="70">
        <v>4</v>
      </c>
      <c r="I169" s="70">
        <v>25</v>
      </c>
      <c r="J169" s="70">
        <v>1977</v>
      </c>
    </row>
    <row r="170" spans="1:20" x14ac:dyDescent="0.2">
      <c r="A170" s="1" t="s">
        <v>87</v>
      </c>
      <c r="B170" s="1" t="s">
        <v>23</v>
      </c>
      <c r="C170" s="3" t="s">
        <v>37</v>
      </c>
      <c r="D170" s="2">
        <v>77</v>
      </c>
      <c r="E170" s="5">
        <v>12</v>
      </c>
      <c r="F170" s="34">
        <f t="shared" si="0"/>
        <v>0.15584415584415584</v>
      </c>
      <c r="G170" s="66" t="s">
        <v>141</v>
      </c>
      <c r="H170" s="70">
        <v>4</v>
      </c>
      <c r="I170" s="70">
        <v>25</v>
      </c>
      <c r="J170" s="70">
        <v>1977</v>
      </c>
    </row>
    <row r="171" spans="1:20" x14ac:dyDescent="0.2">
      <c r="A171" s="1" t="s">
        <v>87</v>
      </c>
      <c r="B171" s="1" t="s">
        <v>17</v>
      </c>
      <c r="C171" s="3" t="s">
        <v>37</v>
      </c>
      <c r="D171" s="2">
        <v>44</v>
      </c>
      <c r="E171" s="5">
        <v>10</v>
      </c>
      <c r="F171" s="34">
        <f t="shared" si="0"/>
        <v>0.22727272727272727</v>
      </c>
      <c r="G171" s="66" t="s">
        <v>141</v>
      </c>
      <c r="H171" s="70">
        <v>4</v>
      </c>
      <c r="I171" s="70">
        <v>25</v>
      </c>
      <c r="J171" s="70">
        <v>1977</v>
      </c>
    </row>
    <row r="172" spans="1:20" x14ac:dyDescent="0.2">
      <c r="A172" s="1" t="s">
        <v>87</v>
      </c>
      <c r="B172" s="1" t="s">
        <v>6</v>
      </c>
      <c r="C172" s="3" t="s">
        <v>37</v>
      </c>
      <c r="D172" s="2">
        <v>28</v>
      </c>
      <c r="E172" s="5">
        <v>5</v>
      </c>
      <c r="F172" s="34">
        <f t="shared" si="0"/>
        <v>0.17857142857142858</v>
      </c>
      <c r="G172" s="66" t="s">
        <v>141</v>
      </c>
      <c r="H172" s="70">
        <v>4</v>
      </c>
      <c r="I172" s="70">
        <v>25</v>
      </c>
      <c r="J172" s="70">
        <v>1977</v>
      </c>
    </row>
    <row r="173" spans="1:20" x14ac:dyDescent="0.2">
      <c r="A173" s="1" t="s">
        <v>87</v>
      </c>
      <c r="B173" s="1" t="s">
        <v>18</v>
      </c>
      <c r="C173" s="3" t="s">
        <v>37</v>
      </c>
      <c r="D173" s="2">
        <v>172</v>
      </c>
      <c r="E173" s="5">
        <v>17</v>
      </c>
      <c r="F173" s="34">
        <f t="shared" si="0"/>
        <v>9.8837209302325577E-2</v>
      </c>
      <c r="G173" s="66" t="s">
        <v>141</v>
      </c>
      <c r="H173" s="70">
        <v>4</v>
      </c>
      <c r="I173" s="70">
        <v>25</v>
      </c>
      <c r="J173" s="70">
        <v>1977</v>
      </c>
    </row>
    <row r="174" spans="1:20" x14ac:dyDescent="0.2">
      <c r="A174" s="1" t="s">
        <v>87</v>
      </c>
      <c r="B174" s="1" t="s">
        <v>68</v>
      </c>
      <c r="C174" s="3" t="s">
        <v>37</v>
      </c>
      <c r="D174" s="2">
        <v>32</v>
      </c>
      <c r="E174" s="5">
        <v>4</v>
      </c>
      <c r="F174" s="34">
        <f t="shared" si="0"/>
        <v>0.125</v>
      </c>
      <c r="G174" s="66" t="s">
        <v>141</v>
      </c>
      <c r="H174" s="70">
        <v>4</v>
      </c>
      <c r="I174" s="70">
        <v>25</v>
      </c>
      <c r="J174" s="70">
        <v>1977</v>
      </c>
    </row>
    <row r="175" spans="1:20" x14ac:dyDescent="0.2">
      <c r="A175" s="1" t="s">
        <v>87</v>
      </c>
      <c r="B175" s="1" t="s">
        <v>26</v>
      </c>
      <c r="C175" s="3" t="s">
        <v>37</v>
      </c>
      <c r="D175" s="2">
        <v>18</v>
      </c>
      <c r="E175" s="5">
        <v>4</v>
      </c>
      <c r="F175" s="34">
        <f t="shared" si="0"/>
        <v>0.22222222222222221</v>
      </c>
      <c r="G175" s="66" t="s">
        <v>141</v>
      </c>
      <c r="H175" s="70">
        <v>4</v>
      </c>
      <c r="I175" s="70">
        <v>25</v>
      </c>
      <c r="J175" s="70">
        <v>1977</v>
      </c>
    </row>
    <row r="176" spans="1:20" x14ac:dyDescent="0.2">
      <c r="A176" s="1" t="s">
        <v>87</v>
      </c>
      <c r="B176" s="1" t="s">
        <v>34</v>
      </c>
      <c r="C176" s="3" t="s">
        <v>37</v>
      </c>
      <c r="D176" s="2">
        <v>12</v>
      </c>
      <c r="E176" s="5">
        <v>0</v>
      </c>
      <c r="F176" s="34">
        <f t="shared" si="0"/>
        <v>0</v>
      </c>
      <c r="G176" s="66" t="s">
        <v>141</v>
      </c>
      <c r="H176" s="70">
        <v>4</v>
      </c>
      <c r="I176" s="70">
        <v>25</v>
      </c>
      <c r="J176" s="70">
        <v>1977</v>
      </c>
    </row>
    <row r="177" spans="1:20" x14ac:dyDescent="0.2">
      <c r="A177" s="1" t="s">
        <v>87</v>
      </c>
      <c r="B177" s="1" t="s">
        <v>55</v>
      </c>
      <c r="C177" s="3" t="s">
        <v>37</v>
      </c>
      <c r="D177" s="2">
        <v>18</v>
      </c>
      <c r="E177" s="5">
        <v>1</v>
      </c>
      <c r="F177" s="34">
        <f t="shared" si="0"/>
        <v>5.5555555555555552E-2</v>
      </c>
      <c r="G177" s="66" t="s">
        <v>141</v>
      </c>
      <c r="H177" s="70">
        <v>4</v>
      </c>
      <c r="I177" s="70">
        <v>25</v>
      </c>
      <c r="J177" s="70">
        <v>1977</v>
      </c>
    </row>
    <row r="178" spans="1:20" x14ac:dyDescent="0.2">
      <c r="A178" s="1" t="s">
        <v>87</v>
      </c>
      <c r="B178" s="1" t="s">
        <v>28</v>
      </c>
      <c r="C178" s="3" t="s">
        <v>37</v>
      </c>
      <c r="D178" s="2">
        <v>7</v>
      </c>
      <c r="E178" s="5">
        <v>1</v>
      </c>
      <c r="F178" s="34">
        <f t="shared" si="0"/>
        <v>0.14285714285714285</v>
      </c>
      <c r="G178" s="66" t="s">
        <v>141</v>
      </c>
      <c r="H178" s="70">
        <v>4</v>
      </c>
      <c r="I178" s="70">
        <v>25</v>
      </c>
      <c r="J178" s="70">
        <v>1977</v>
      </c>
    </row>
    <row r="179" spans="1:20" x14ac:dyDescent="0.2">
      <c r="A179" s="1" t="s">
        <v>87</v>
      </c>
      <c r="B179" s="1" t="s">
        <v>27</v>
      </c>
      <c r="C179" s="3" t="s">
        <v>37</v>
      </c>
      <c r="D179" s="2">
        <v>5</v>
      </c>
      <c r="E179" s="5">
        <v>1</v>
      </c>
      <c r="F179" s="34">
        <f t="shared" si="0"/>
        <v>0.2</v>
      </c>
      <c r="G179" s="66" t="s">
        <v>141</v>
      </c>
      <c r="H179" s="70">
        <v>4</v>
      </c>
      <c r="I179" s="70">
        <v>25</v>
      </c>
      <c r="J179" s="70">
        <v>1977</v>
      </c>
    </row>
    <row r="180" spans="1:20" x14ac:dyDescent="0.2">
      <c r="A180" s="1" t="s">
        <v>87</v>
      </c>
      <c r="B180" s="1" t="s">
        <v>19</v>
      </c>
      <c r="C180" s="3" t="s">
        <v>37</v>
      </c>
      <c r="D180" s="2">
        <v>12</v>
      </c>
      <c r="E180" s="5">
        <v>3</v>
      </c>
      <c r="F180" s="34">
        <f t="shared" si="0"/>
        <v>0.25</v>
      </c>
      <c r="G180" s="66" t="s">
        <v>141</v>
      </c>
      <c r="H180" s="70">
        <v>4</v>
      </c>
      <c r="I180" s="70">
        <v>25</v>
      </c>
      <c r="J180" s="70">
        <v>1977</v>
      </c>
    </row>
    <row r="181" spans="1:20" x14ac:dyDescent="0.2">
      <c r="A181" s="1" t="s">
        <v>87</v>
      </c>
      <c r="B181" s="1" t="s">
        <v>20</v>
      </c>
      <c r="C181" s="3" t="s">
        <v>37</v>
      </c>
      <c r="D181" s="2">
        <v>14</v>
      </c>
      <c r="E181" s="5">
        <v>0</v>
      </c>
      <c r="F181" s="34">
        <f t="shared" si="0"/>
        <v>0</v>
      </c>
      <c r="G181" s="66" t="s">
        <v>141</v>
      </c>
      <c r="H181" s="70">
        <v>4</v>
      </c>
      <c r="I181" s="70">
        <v>25</v>
      </c>
      <c r="J181" s="70">
        <v>1977</v>
      </c>
    </row>
    <row r="182" spans="1:20" ht="17" thickBot="1" x14ac:dyDescent="0.25">
      <c r="A182" s="1" t="s">
        <v>87</v>
      </c>
      <c r="B182" s="1" t="s">
        <v>81</v>
      </c>
      <c r="C182" s="3" t="s">
        <v>37</v>
      </c>
      <c r="D182" s="2">
        <v>6</v>
      </c>
      <c r="E182" s="5">
        <v>1</v>
      </c>
      <c r="F182" s="34">
        <f t="shared" si="0"/>
        <v>0.16666666666666666</v>
      </c>
      <c r="G182" s="66" t="s">
        <v>141</v>
      </c>
      <c r="H182" s="70">
        <v>4</v>
      </c>
      <c r="I182" s="70">
        <v>25</v>
      </c>
      <c r="J182" s="70">
        <v>1977</v>
      </c>
    </row>
    <row r="183" spans="1:20" s="16" customFormat="1" x14ac:dyDescent="0.2">
      <c r="A183" s="11" t="s">
        <v>88</v>
      </c>
      <c r="B183" s="11" t="s">
        <v>6</v>
      </c>
      <c r="C183" s="12" t="s">
        <v>12</v>
      </c>
      <c r="D183" s="14">
        <v>290</v>
      </c>
      <c r="E183" s="15">
        <v>63</v>
      </c>
      <c r="F183" s="33">
        <f t="shared" si="0"/>
        <v>0.21724137931034482</v>
      </c>
      <c r="G183" s="66" t="s">
        <v>142</v>
      </c>
      <c r="H183" s="70">
        <v>3</v>
      </c>
      <c r="I183" s="70">
        <v>110</v>
      </c>
      <c r="J183" s="70">
        <v>1985</v>
      </c>
      <c r="K183" s="71"/>
      <c r="L183" s="71"/>
      <c r="M183" s="71"/>
      <c r="N183" s="71"/>
      <c r="O183" s="71"/>
      <c r="P183" s="71"/>
      <c r="Q183" s="71"/>
      <c r="R183" s="71"/>
      <c r="S183" s="71"/>
      <c r="T183" s="71"/>
    </row>
    <row r="184" spans="1:20" x14ac:dyDescent="0.2">
      <c r="A184" s="1" t="s">
        <v>88</v>
      </c>
      <c r="B184" s="1" t="s">
        <v>75</v>
      </c>
      <c r="C184" s="3" t="s">
        <v>12</v>
      </c>
      <c r="D184" s="2">
        <v>120</v>
      </c>
      <c r="E184" s="5">
        <v>42</v>
      </c>
      <c r="F184" s="34">
        <f t="shared" si="0"/>
        <v>0.35</v>
      </c>
      <c r="G184" s="66" t="s">
        <v>142</v>
      </c>
      <c r="H184" s="70">
        <v>3</v>
      </c>
      <c r="I184" s="70">
        <v>110</v>
      </c>
      <c r="J184" s="70">
        <v>1985</v>
      </c>
    </row>
    <row r="185" spans="1:20" x14ac:dyDescent="0.2">
      <c r="A185" s="1" t="s">
        <v>88</v>
      </c>
      <c r="B185" s="1" t="s">
        <v>23</v>
      </c>
      <c r="C185" s="3" t="s">
        <v>12</v>
      </c>
      <c r="D185" s="2">
        <v>111</v>
      </c>
      <c r="E185" s="5">
        <v>33</v>
      </c>
      <c r="F185" s="34">
        <f t="shared" si="0"/>
        <v>0.29729729729729731</v>
      </c>
      <c r="G185" s="66" t="s">
        <v>142</v>
      </c>
      <c r="H185" s="70">
        <v>3</v>
      </c>
      <c r="I185" s="70">
        <v>110</v>
      </c>
      <c r="J185" s="70">
        <v>1985</v>
      </c>
    </row>
    <row r="186" spans="1:20" s="29" customFormat="1" ht="17" thickBot="1" x14ac:dyDescent="0.25">
      <c r="A186" s="48" t="s">
        <v>88</v>
      </c>
      <c r="B186" s="48" t="s">
        <v>61</v>
      </c>
      <c r="C186" s="49" t="s">
        <v>12</v>
      </c>
      <c r="D186" s="50">
        <v>28</v>
      </c>
      <c r="E186" s="51">
        <v>5</v>
      </c>
      <c r="F186" s="52">
        <f t="shared" si="0"/>
        <v>0.17857142857142858</v>
      </c>
      <c r="G186" s="66" t="s">
        <v>142</v>
      </c>
      <c r="H186" s="70">
        <v>3</v>
      </c>
      <c r="I186" s="70">
        <v>110</v>
      </c>
      <c r="J186" s="70">
        <v>1985</v>
      </c>
      <c r="K186" s="71"/>
      <c r="L186" s="71"/>
      <c r="M186" s="71"/>
      <c r="N186" s="71"/>
      <c r="O186" s="71"/>
      <c r="P186" s="71"/>
      <c r="Q186" s="71"/>
      <c r="R186" s="71"/>
      <c r="S186" s="71"/>
      <c r="T186" s="71"/>
    </row>
    <row r="187" spans="1:20" x14ac:dyDescent="0.2">
      <c r="A187" s="1" t="s">
        <v>89</v>
      </c>
      <c r="B187" s="1" t="s">
        <v>18</v>
      </c>
      <c r="C187" s="3" t="s">
        <v>57</v>
      </c>
      <c r="D187" s="2">
        <v>80</v>
      </c>
      <c r="E187" s="5">
        <v>12</v>
      </c>
      <c r="F187" s="34">
        <f t="shared" si="0"/>
        <v>0.15</v>
      </c>
      <c r="G187" s="66" t="s">
        <v>143</v>
      </c>
      <c r="H187" s="70">
        <v>107</v>
      </c>
      <c r="I187" s="70" t="s">
        <v>144</v>
      </c>
      <c r="J187" s="70">
        <v>1994</v>
      </c>
    </row>
    <row r="188" spans="1:20" x14ac:dyDescent="0.2">
      <c r="A188" s="1" t="s">
        <v>89</v>
      </c>
      <c r="B188" s="1" t="s">
        <v>26</v>
      </c>
      <c r="C188" s="3" t="s">
        <v>57</v>
      </c>
      <c r="D188" s="2">
        <v>58</v>
      </c>
      <c r="E188" s="5">
        <v>15</v>
      </c>
      <c r="F188" s="34">
        <f t="shared" si="0"/>
        <v>0.25862068965517243</v>
      </c>
      <c r="G188" s="66" t="s">
        <v>143</v>
      </c>
      <c r="H188" s="70">
        <v>107</v>
      </c>
      <c r="I188" s="70" t="s">
        <v>144</v>
      </c>
      <c r="J188" s="70">
        <v>1994</v>
      </c>
    </row>
    <row r="189" spans="1:20" x14ac:dyDescent="0.2">
      <c r="A189" s="1" t="s">
        <v>89</v>
      </c>
      <c r="B189" s="1" t="s">
        <v>6</v>
      </c>
      <c r="C189" s="3" t="s">
        <v>57</v>
      </c>
      <c r="D189" s="2">
        <v>39</v>
      </c>
      <c r="E189" s="5">
        <v>7</v>
      </c>
      <c r="F189" s="34">
        <f t="shared" si="0"/>
        <v>0.17948717948717949</v>
      </c>
      <c r="G189" s="66" t="s">
        <v>143</v>
      </c>
      <c r="H189" s="70">
        <v>107</v>
      </c>
      <c r="I189" s="70" t="s">
        <v>144</v>
      </c>
      <c r="J189" s="70">
        <v>1994</v>
      </c>
    </row>
    <row r="190" spans="1:20" x14ac:dyDescent="0.2">
      <c r="A190" s="1" t="s">
        <v>89</v>
      </c>
      <c r="B190" s="1" t="s">
        <v>90</v>
      </c>
      <c r="C190" s="3" t="s">
        <v>57</v>
      </c>
      <c r="D190" s="2">
        <v>16</v>
      </c>
      <c r="E190" s="5">
        <v>1</v>
      </c>
      <c r="F190" s="34">
        <f t="shared" si="0"/>
        <v>6.25E-2</v>
      </c>
      <c r="G190" s="66" t="s">
        <v>143</v>
      </c>
      <c r="H190" s="70">
        <v>107</v>
      </c>
      <c r="I190" s="70" t="s">
        <v>144</v>
      </c>
      <c r="J190" s="70">
        <v>1994</v>
      </c>
    </row>
    <row r="191" spans="1:20" x14ac:dyDescent="0.2">
      <c r="A191" s="1" t="s">
        <v>89</v>
      </c>
      <c r="B191" s="1" t="s">
        <v>91</v>
      </c>
      <c r="C191" s="3" t="s">
        <v>57</v>
      </c>
      <c r="D191" s="2">
        <v>86</v>
      </c>
      <c r="E191" s="5">
        <v>19</v>
      </c>
      <c r="F191" s="34">
        <f t="shared" si="0"/>
        <v>0.22093023255813954</v>
      </c>
      <c r="G191" s="66" t="s">
        <v>143</v>
      </c>
      <c r="H191" s="70">
        <v>107</v>
      </c>
      <c r="I191" s="70" t="s">
        <v>144</v>
      </c>
      <c r="J191" s="70">
        <v>1994</v>
      </c>
    </row>
    <row r="192" spans="1:20" x14ac:dyDescent="0.2">
      <c r="A192" s="1" t="s">
        <v>89</v>
      </c>
      <c r="B192" s="1" t="s">
        <v>92</v>
      </c>
      <c r="C192" s="3" t="s">
        <v>57</v>
      </c>
      <c r="D192" s="2">
        <v>20</v>
      </c>
      <c r="E192" s="5">
        <v>0</v>
      </c>
      <c r="F192" s="34">
        <f t="shared" si="0"/>
        <v>0</v>
      </c>
      <c r="G192" s="66" t="s">
        <v>143</v>
      </c>
      <c r="H192" s="70">
        <v>107</v>
      </c>
      <c r="I192" s="70" t="s">
        <v>144</v>
      </c>
      <c r="J192" s="70">
        <v>1994</v>
      </c>
    </row>
    <row r="193" spans="1:20" x14ac:dyDescent="0.2">
      <c r="A193" s="1" t="s">
        <v>89</v>
      </c>
      <c r="B193" s="1" t="s">
        <v>75</v>
      </c>
      <c r="C193" s="3" t="s">
        <v>57</v>
      </c>
      <c r="D193" s="2">
        <v>112</v>
      </c>
      <c r="E193" s="5">
        <v>20</v>
      </c>
      <c r="F193" s="34">
        <f t="shared" si="0"/>
        <v>0.17857142857142858</v>
      </c>
      <c r="G193" s="66" t="s">
        <v>143</v>
      </c>
      <c r="H193" s="70">
        <v>107</v>
      </c>
      <c r="I193" s="70" t="s">
        <v>144</v>
      </c>
      <c r="J193" s="70">
        <v>1994</v>
      </c>
    </row>
    <row r="194" spans="1:20" x14ac:dyDescent="0.2">
      <c r="A194" s="1" t="s">
        <v>89</v>
      </c>
      <c r="B194" s="1" t="s">
        <v>93</v>
      </c>
      <c r="C194" s="3" t="s">
        <v>57</v>
      </c>
      <c r="D194" s="2">
        <v>30</v>
      </c>
      <c r="E194" s="5">
        <v>2</v>
      </c>
      <c r="F194" s="34">
        <f t="shared" si="0"/>
        <v>6.6666666666666666E-2</v>
      </c>
      <c r="G194" s="66" t="s">
        <v>143</v>
      </c>
      <c r="H194" s="70">
        <v>107</v>
      </c>
      <c r="I194" s="70" t="s">
        <v>144</v>
      </c>
      <c r="J194" s="70">
        <v>1994</v>
      </c>
    </row>
    <row r="195" spans="1:20" x14ac:dyDescent="0.2">
      <c r="A195" s="1" t="s">
        <v>89</v>
      </c>
      <c r="B195" s="1" t="s">
        <v>23</v>
      </c>
      <c r="C195" s="3" t="s">
        <v>57</v>
      </c>
      <c r="D195" s="2">
        <v>65</v>
      </c>
      <c r="E195" s="5">
        <v>23</v>
      </c>
      <c r="F195" s="34">
        <f t="shared" si="0"/>
        <v>0.35384615384615387</v>
      </c>
      <c r="G195" s="66" t="s">
        <v>143</v>
      </c>
      <c r="H195" s="70">
        <v>107</v>
      </c>
      <c r="I195" s="70" t="s">
        <v>144</v>
      </c>
      <c r="J195" s="70">
        <v>1994</v>
      </c>
    </row>
    <row r="196" spans="1:20" x14ac:dyDescent="0.2">
      <c r="A196" s="1" t="s">
        <v>89</v>
      </c>
      <c r="B196" s="1" t="s">
        <v>25</v>
      </c>
      <c r="C196" s="3" t="s">
        <v>57</v>
      </c>
      <c r="D196" s="2">
        <v>36</v>
      </c>
      <c r="E196" s="5">
        <v>15</v>
      </c>
      <c r="F196" s="34">
        <f t="shared" si="0"/>
        <v>0.41666666666666669</v>
      </c>
      <c r="G196" s="66" t="s">
        <v>143</v>
      </c>
      <c r="H196" s="70">
        <v>107</v>
      </c>
      <c r="I196" s="70" t="s">
        <v>144</v>
      </c>
      <c r="J196" s="70">
        <v>1994</v>
      </c>
    </row>
    <row r="197" spans="1:20" x14ac:dyDescent="0.2">
      <c r="A197" s="1" t="s">
        <v>89</v>
      </c>
      <c r="B197" s="1" t="s">
        <v>94</v>
      </c>
      <c r="C197" s="3" t="s">
        <v>57</v>
      </c>
      <c r="D197" s="2">
        <v>26</v>
      </c>
      <c r="E197" s="5">
        <v>2</v>
      </c>
      <c r="F197" s="34">
        <f t="shared" si="0"/>
        <v>7.6923076923076927E-2</v>
      </c>
      <c r="G197" s="66" t="s">
        <v>143</v>
      </c>
      <c r="H197" s="70">
        <v>107</v>
      </c>
      <c r="I197" s="70" t="s">
        <v>144</v>
      </c>
      <c r="J197" s="70">
        <v>1994</v>
      </c>
    </row>
    <row r="198" spans="1:20" x14ac:dyDescent="0.2">
      <c r="A198" s="1" t="s">
        <v>89</v>
      </c>
      <c r="B198" s="1" t="s">
        <v>27</v>
      </c>
      <c r="C198" s="3" t="s">
        <v>57</v>
      </c>
      <c r="D198" s="2">
        <v>19</v>
      </c>
      <c r="E198" s="5">
        <v>3</v>
      </c>
      <c r="F198" s="34">
        <f t="shared" si="0"/>
        <v>0.15789473684210525</v>
      </c>
      <c r="G198" s="66" t="s">
        <v>143</v>
      </c>
      <c r="H198" s="70">
        <v>107</v>
      </c>
      <c r="I198" s="70" t="s">
        <v>144</v>
      </c>
      <c r="J198" s="70">
        <v>1994</v>
      </c>
    </row>
    <row r="199" spans="1:20" ht="17" thickBot="1" x14ac:dyDescent="0.25">
      <c r="A199" s="1" t="s">
        <v>89</v>
      </c>
      <c r="B199" s="1" t="s">
        <v>95</v>
      </c>
      <c r="C199" s="3" t="s">
        <v>57</v>
      </c>
      <c r="D199" s="2">
        <v>42</v>
      </c>
      <c r="E199" s="5">
        <v>12</v>
      </c>
      <c r="F199" s="34">
        <f t="shared" si="0"/>
        <v>0.2857142857142857</v>
      </c>
      <c r="G199" s="66" t="s">
        <v>143</v>
      </c>
      <c r="H199" s="70">
        <v>107</v>
      </c>
      <c r="I199" s="70" t="s">
        <v>144</v>
      </c>
      <c r="J199" s="70">
        <v>1994</v>
      </c>
    </row>
    <row r="200" spans="1:20" s="16" customFormat="1" x14ac:dyDescent="0.2">
      <c r="A200" s="11" t="s">
        <v>96</v>
      </c>
      <c r="B200" s="11" t="s">
        <v>24</v>
      </c>
      <c r="C200" s="12" t="s">
        <v>16</v>
      </c>
      <c r="D200" s="14">
        <v>44</v>
      </c>
      <c r="E200" s="15">
        <v>0</v>
      </c>
      <c r="F200" s="33">
        <f t="shared" si="0"/>
        <v>0</v>
      </c>
      <c r="G200" s="66" t="s">
        <v>145</v>
      </c>
      <c r="H200" s="70">
        <v>9</v>
      </c>
      <c r="I200" s="70">
        <v>277</v>
      </c>
      <c r="J200" s="70">
        <v>1977</v>
      </c>
      <c r="K200" s="71"/>
      <c r="L200" s="71"/>
      <c r="M200" s="71"/>
      <c r="N200" s="71"/>
      <c r="O200" s="71"/>
      <c r="P200" s="71"/>
      <c r="Q200" s="71"/>
      <c r="R200" s="71"/>
      <c r="S200" s="71"/>
      <c r="T200" s="71"/>
    </row>
    <row r="201" spans="1:20" x14ac:dyDescent="0.2">
      <c r="A201" s="1" t="s">
        <v>96</v>
      </c>
      <c r="B201" s="1" t="s">
        <v>34</v>
      </c>
      <c r="C201" s="3" t="s">
        <v>16</v>
      </c>
      <c r="D201" s="2">
        <v>35</v>
      </c>
      <c r="E201" s="5">
        <v>4</v>
      </c>
      <c r="F201" s="34">
        <f t="shared" si="0"/>
        <v>0.11428571428571428</v>
      </c>
      <c r="G201" s="66" t="s">
        <v>145</v>
      </c>
      <c r="H201" s="70">
        <v>9</v>
      </c>
      <c r="I201" s="70">
        <v>277</v>
      </c>
      <c r="J201" s="70">
        <v>1977</v>
      </c>
    </row>
    <row r="202" spans="1:20" x14ac:dyDescent="0.2">
      <c r="A202" s="1" t="s">
        <v>96</v>
      </c>
      <c r="B202" s="1" t="s">
        <v>27</v>
      </c>
      <c r="C202" s="3" t="s">
        <v>16</v>
      </c>
      <c r="D202" s="2">
        <v>18</v>
      </c>
      <c r="E202" s="5">
        <v>0</v>
      </c>
      <c r="F202" s="34">
        <f t="shared" si="0"/>
        <v>0</v>
      </c>
      <c r="G202" s="66" t="s">
        <v>145</v>
      </c>
      <c r="H202" s="70">
        <v>9</v>
      </c>
      <c r="I202" s="70">
        <v>277</v>
      </c>
      <c r="J202" s="70">
        <v>1977</v>
      </c>
    </row>
    <row r="203" spans="1:20" x14ac:dyDescent="0.2">
      <c r="A203" s="1" t="s">
        <v>96</v>
      </c>
      <c r="B203" s="1" t="s">
        <v>68</v>
      </c>
      <c r="C203" s="3" t="s">
        <v>16</v>
      </c>
      <c r="D203" s="2">
        <v>79</v>
      </c>
      <c r="E203" s="5">
        <v>7</v>
      </c>
      <c r="F203" s="34">
        <f t="shared" si="0"/>
        <v>8.8607594936708861E-2</v>
      </c>
      <c r="G203" s="66" t="s">
        <v>145</v>
      </c>
      <c r="H203" s="70">
        <v>9</v>
      </c>
      <c r="I203" s="70">
        <v>277</v>
      </c>
      <c r="J203" s="70">
        <v>1977</v>
      </c>
    </row>
    <row r="204" spans="1:20" x14ac:dyDescent="0.2">
      <c r="A204" s="1" t="s">
        <v>96</v>
      </c>
      <c r="B204" s="1" t="s">
        <v>20</v>
      </c>
      <c r="C204" s="3" t="s">
        <v>16</v>
      </c>
      <c r="D204" s="2">
        <v>45</v>
      </c>
      <c r="E204" s="5">
        <v>5</v>
      </c>
      <c r="F204" s="34">
        <f t="shared" si="0"/>
        <v>0.1111111111111111</v>
      </c>
      <c r="G204" s="66" t="s">
        <v>145</v>
      </c>
      <c r="H204" s="70">
        <v>9</v>
      </c>
      <c r="I204" s="70">
        <v>277</v>
      </c>
      <c r="J204" s="70">
        <v>1977</v>
      </c>
    </row>
    <row r="205" spans="1:20" x14ac:dyDescent="0.2">
      <c r="A205" s="1" t="s">
        <v>96</v>
      </c>
      <c r="B205" s="1" t="s">
        <v>81</v>
      </c>
      <c r="C205" s="3" t="s">
        <v>16</v>
      </c>
      <c r="D205" s="2">
        <v>22</v>
      </c>
      <c r="E205" s="5">
        <v>2</v>
      </c>
      <c r="F205" s="34">
        <f t="shared" si="0"/>
        <v>9.0909090909090912E-2</v>
      </c>
      <c r="G205" s="66" t="s">
        <v>145</v>
      </c>
      <c r="H205" s="70">
        <v>9</v>
      </c>
      <c r="I205" s="70">
        <v>277</v>
      </c>
      <c r="J205" s="70">
        <v>1977</v>
      </c>
    </row>
    <row r="206" spans="1:20" x14ac:dyDescent="0.2">
      <c r="A206" s="1" t="s">
        <v>96</v>
      </c>
      <c r="B206" s="1" t="s">
        <v>25</v>
      </c>
      <c r="C206" s="3" t="s">
        <v>16</v>
      </c>
      <c r="D206" s="2">
        <v>51</v>
      </c>
      <c r="E206" s="5">
        <v>5</v>
      </c>
      <c r="F206" s="34">
        <f t="shared" si="0"/>
        <v>9.8039215686274508E-2</v>
      </c>
      <c r="G206" s="66" t="s">
        <v>145</v>
      </c>
      <c r="H206" s="70">
        <v>9</v>
      </c>
      <c r="I206" s="70">
        <v>277</v>
      </c>
      <c r="J206" s="70">
        <v>1977</v>
      </c>
    </row>
    <row r="207" spans="1:20" x14ac:dyDescent="0.2">
      <c r="A207" s="1" t="s">
        <v>96</v>
      </c>
      <c r="B207" s="1" t="s">
        <v>79</v>
      </c>
      <c r="C207" s="3" t="s">
        <v>16</v>
      </c>
      <c r="D207" s="2">
        <v>4</v>
      </c>
      <c r="E207" s="5">
        <v>1</v>
      </c>
      <c r="F207" s="34">
        <f t="shared" si="0"/>
        <v>0.25</v>
      </c>
      <c r="G207" s="66" t="s">
        <v>145</v>
      </c>
      <c r="H207" s="70">
        <v>9</v>
      </c>
      <c r="I207" s="70">
        <v>277</v>
      </c>
      <c r="J207" s="70">
        <v>1977</v>
      </c>
    </row>
    <row r="208" spans="1:20" x14ac:dyDescent="0.2">
      <c r="A208" s="1" t="s">
        <v>96</v>
      </c>
      <c r="B208" s="1" t="s">
        <v>55</v>
      </c>
      <c r="C208" s="3" t="s">
        <v>16</v>
      </c>
      <c r="D208" s="2">
        <v>26</v>
      </c>
      <c r="E208" s="5">
        <v>2</v>
      </c>
      <c r="F208" s="34">
        <f t="shared" si="0"/>
        <v>7.6923076923076927E-2</v>
      </c>
      <c r="G208" s="66" t="s">
        <v>145</v>
      </c>
      <c r="H208" s="70">
        <v>9</v>
      </c>
      <c r="I208" s="70">
        <v>277</v>
      </c>
      <c r="J208" s="70">
        <v>1977</v>
      </c>
    </row>
    <row r="209" spans="1:20" x14ac:dyDescent="0.2">
      <c r="A209" s="1" t="s">
        <v>96</v>
      </c>
      <c r="B209" s="1" t="s">
        <v>61</v>
      </c>
      <c r="C209" s="3" t="s">
        <v>16</v>
      </c>
      <c r="D209" s="2">
        <v>135</v>
      </c>
      <c r="E209" s="5">
        <v>33</v>
      </c>
      <c r="F209" s="34">
        <f t="shared" si="0"/>
        <v>0.24444444444444444</v>
      </c>
      <c r="G209" s="66" t="s">
        <v>145</v>
      </c>
      <c r="H209" s="70">
        <v>9</v>
      </c>
      <c r="I209" s="70">
        <v>277</v>
      </c>
      <c r="J209" s="70">
        <v>1977</v>
      </c>
    </row>
    <row r="210" spans="1:20" ht="17" thickBot="1" x14ac:dyDescent="0.25">
      <c r="A210" s="1" t="s">
        <v>96</v>
      </c>
      <c r="B210" s="1" t="s">
        <v>75</v>
      </c>
      <c r="C210" s="3" t="s">
        <v>16</v>
      </c>
      <c r="D210" s="2">
        <v>20</v>
      </c>
      <c r="E210" s="5">
        <v>0</v>
      </c>
      <c r="F210" s="34">
        <f t="shared" si="0"/>
        <v>0</v>
      </c>
      <c r="G210" s="66" t="s">
        <v>145</v>
      </c>
      <c r="H210" s="70">
        <v>9</v>
      </c>
      <c r="I210" s="70">
        <v>277</v>
      </c>
      <c r="J210" s="70">
        <v>1977</v>
      </c>
    </row>
    <row r="211" spans="1:20" s="16" customFormat="1" x14ac:dyDescent="0.2">
      <c r="A211" s="11" t="s">
        <v>97</v>
      </c>
      <c r="B211" s="11" t="s">
        <v>25</v>
      </c>
      <c r="C211" s="12" t="s">
        <v>56</v>
      </c>
      <c r="D211" s="14">
        <v>96</v>
      </c>
      <c r="E211" s="15">
        <v>6</v>
      </c>
      <c r="F211" s="33">
        <f t="shared" si="0"/>
        <v>6.25E-2</v>
      </c>
      <c r="G211" s="66" t="s">
        <v>146</v>
      </c>
      <c r="H211" s="70" t="s">
        <v>147</v>
      </c>
      <c r="I211" s="70" t="s">
        <v>148</v>
      </c>
      <c r="J211" s="70">
        <v>1985</v>
      </c>
      <c r="K211" s="71"/>
      <c r="L211" s="71"/>
      <c r="M211" s="71"/>
      <c r="N211" s="71"/>
      <c r="O211" s="71"/>
      <c r="P211" s="71"/>
      <c r="Q211" s="71"/>
      <c r="R211" s="71"/>
      <c r="S211" s="71"/>
      <c r="T211" s="71"/>
    </row>
    <row r="212" spans="1:20" x14ac:dyDescent="0.2">
      <c r="A212" s="1" t="s">
        <v>97</v>
      </c>
      <c r="B212" s="1" t="s">
        <v>6</v>
      </c>
      <c r="C212" s="3" t="s">
        <v>56</v>
      </c>
      <c r="D212" s="2">
        <v>139</v>
      </c>
      <c r="E212" s="5">
        <v>32</v>
      </c>
      <c r="F212" s="34">
        <f t="shared" si="0"/>
        <v>0.23021582733812951</v>
      </c>
      <c r="G212" s="66" t="s">
        <v>146</v>
      </c>
      <c r="H212" s="70" t="s">
        <v>147</v>
      </c>
      <c r="I212" s="70" t="s">
        <v>148</v>
      </c>
      <c r="J212" s="70">
        <v>1985</v>
      </c>
    </row>
    <row r="213" spans="1:20" x14ac:dyDescent="0.2">
      <c r="A213" s="1" t="s">
        <v>97</v>
      </c>
      <c r="B213" s="1" t="s">
        <v>34</v>
      </c>
      <c r="C213" s="3" t="s">
        <v>56</v>
      </c>
      <c r="D213" s="2">
        <v>51</v>
      </c>
      <c r="E213" s="5">
        <v>9</v>
      </c>
      <c r="F213" s="34">
        <f t="shared" si="0"/>
        <v>0.17647058823529413</v>
      </c>
      <c r="G213" s="66" t="s">
        <v>146</v>
      </c>
      <c r="H213" s="70" t="s">
        <v>147</v>
      </c>
      <c r="I213" s="70" t="s">
        <v>148</v>
      </c>
      <c r="J213" s="70">
        <v>1985</v>
      </c>
    </row>
    <row r="214" spans="1:20" x14ac:dyDescent="0.2">
      <c r="A214" s="1" t="s">
        <v>97</v>
      </c>
      <c r="B214" s="1" t="s">
        <v>92</v>
      </c>
      <c r="C214" s="3" t="s">
        <v>56</v>
      </c>
      <c r="D214" s="2">
        <v>62</v>
      </c>
      <c r="E214" s="5">
        <v>10</v>
      </c>
      <c r="F214" s="34">
        <f t="shared" si="0"/>
        <v>0.16129032258064516</v>
      </c>
      <c r="G214" s="66" t="s">
        <v>146</v>
      </c>
      <c r="H214" s="70" t="s">
        <v>147</v>
      </c>
      <c r="I214" s="70" t="s">
        <v>148</v>
      </c>
      <c r="J214" s="70">
        <v>1985</v>
      </c>
    </row>
    <row r="215" spans="1:20" s="29" customFormat="1" ht="17" thickBot="1" x14ac:dyDescent="0.25">
      <c r="A215" s="48" t="s">
        <v>97</v>
      </c>
      <c r="B215" s="48" t="s">
        <v>75</v>
      </c>
      <c r="C215" s="49" t="s">
        <v>56</v>
      </c>
      <c r="D215" s="50">
        <v>13</v>
      </c>
      <c r="E215" s="51">
        <v>1</v>
      </c>
      <c r="F215" s="52">
        <f t="shared" si="0"/>
        <v>7.6923076923076927E-2</v>
      </c>
      <c r="G215" s="66" t="s">
        <v>146</v>
      </c>
      <c r="H215" s="70" t="s">
        <v>147</v>
      </c>
      <c r="I215" s="70" t="s">
        <v>148</v>
      </c>
      <c r="J215" s="70">
        <v>1985</v>
      </c>
      <c r="K215" s="71"/>
      <c r="L215" s="71"/>
      <c r="M215" s="71"/>
      <c r="N215" s="71"/>
      <c r="O215" s="71"/>
      <c r="P215" s="71"/>
      <c r="Q215" s="71"/>
      <c r="R215" s="71"/>
      <c r="S215" s="71"/>
      <c r="T215" s="71"/>
    </row>
    <row r="216" spans="1:20" x14ac:dyDescent="0.2">
      <c r="A216" s="1" t="s">
        <v>98</v>
      </c>
      <c r="B216" s="1" t="s">
        <v>50</v>
      </c>
      <c r="C216" s="3" t="s">
        <v>9</v>
      </c>
      <c r="D216" s="2">
        <v>494</v>
      </c>
      <c r="E216" s="5">
        <v>232</v>
      </c>
      <c r="F216" s="34">
        <f t="shared" si="0"/>
        <v>0.46963562753036436</v>
      </c>
      <c r="G216" s="66" t="s">
        <v>149</v>
      </c>
      <c r="H216" s="70" t="s">
        <v>150</v>
      </c>
      <c r="I216" s="70" t="s">
        <v>151</v>
      </c>
      <c r="J216" s="70">
        <v>1985</v>
      </c>
    </row>
    <row r="217" spans="1:20" x14ac:dyDescent="0.2">
      <c r="A217" s="1" t="s">
        <v>98</v>
      </c>
      <c r="B217" s="1" t="s">
        <v>24</v>
      </c>
      <c r="C217" s="3" t="s">
        <v>9</v>
      </c>
      <c r="D217" s="2">
        <v>262</v>
      </c>
      <c r="E217" s="5">
        <v>115</v>
      </c>
      <c r="F217" s="34">
        <f t="shared" si="0"/>
        <v>0.43893129770992367</v>
      </c>
      <c r="G217" s="66" t="s">
        <v>149</v>
      </c>
      <c r="H217" s="70" t="s">
        <v>150</v>
      </c>
      <c r="I217" s="70" t="s">
        <v>151</v>
      </c>
      <c r="J217" s="70">
        <v>1985</v>
      </c>
    </row>
    <row r="218" spans="1:20" x14ac:dyDescent="0.2">
      <c r="A218" s="1" t="s">
        <v>98</v>
      </c>
      <c r="B218" s="1" t="s">
        <v>49</v>
      </c>
      <c r="C218" s="3" t="s">
        <v>9</v>
      </c>
      <c r="D218" s="2">
        <v>390</v>
      </c>
      <c r="E218" s="5">
        <v>199</v>
      </c>
      <c r="F218" s="34">
        <f t="shared" si="0"/>
        <v>0.51025641025641022</v>
      </c>
      <c r="G218" s="66" t="s">
        <v>149</v>
      </c>
      <c r="H218" s="70" t="s">
        <v>150</v>
      </c>
      <c r="I218" s="70" t="s">
        <v>151</v>
      </c>
      <c r="J218" s="70">
        <v>1985</v>
      </c>
    </row>
    <row r="219" spans="1:20" x14ac:dyDescent="0.2">
      <c r="A219" s="1" t="s">
        <v>98</v>
      </c>
      <c r="B219" s="1" t="s">
        <v>34</v>
      </c>
      <c r="C219" s="3" t="s">
        <v>9</v>
      </c>
      <c r="D219" s="2">
        <v>81</v>
      </c>
      <c r="E219" s="5">
        <v>25</v>
      </c>
      <c r="F219" s="34">
        <f t="shared" si="0"/>
        <v>0.30864197530864196</v>
      </c>
      <c r="G219" s="66" t="s">
        <v>149</v>
      </c>
      <c r="H219" s="70" t="s">
        <v>150</v>
      </c>
      <c r="I219" s="70" t="s">
        <v>151</v>
      </c>
      <c r="J219" s="70">
        <v>1985</v>
      </c>
    </row>
    <row r="220" spans="1:20" x14ac:dyDescent="0.2">
      <c r="A220" s="1" t="s">
        <v>98</v>
      </c>
      <c r="B220" s="1" t="s">
        <v>81</v>
      </c>
      <c r="C220" s="3" t="s">
        <v>9</v>
      </c>
      <c r="D220" s="2">
        <v>144</v>
      </c>
      <c r="E220" s="5">
        <v>92</v>
      </c>
      <c r="F220" s="34">
        <f t="shared" si="0"/>
        <v>0.63888888888888884</v>
      </c>
      <c r="G220" s="66" t="s">
        <v>149</v>
      </c>
      <c r="H220" s="70" t="s">
        <v>150</v>
      </c>
      <c r="I220" s="70" t="s">
        <v>151</v>
      </c>
      <c r="J220" s="70">
        <v>1985</v>
      </c>
    </row>
    <row r="221" spans="1:20" x14ac:dyDescent="0.2">
      <c r="A221" s="1" t="s">
        <v>98</v>
      </c>
      <c r="B221" s="1" t="s">
        <v>75</v>
      </c>
      <c r="C221" s="3" t="s">
        <v>9</v>
      </c>
      <c r="D221" s="2">
        <v>190</v>
      </c>
      <c r="E221" s="5">
        <v>61</v>
      </c>
      <c r="F221" s="34">
        <f t="shared" si="0"/>
        <v>0.32105263157894737</v>
      </c>
      <c r="G221" s="66" t="s">
        <v>149</v>
      </c>
      <c r="H221" s="70" t="s">
        <v>150</v>
      </c>
      <c r="I221" s="70" t="s">
        <v>151</v>
      </c>
      <c r="J221" s="70">
        <v>1985</v>
      </c>
    </row>
    <row r="222" spans="1:20" x14ac:dyDescent="0.2">
      <c r="A222" s="1" t="s">
        <v>98</v>
      </c>
      <c r="B222" s="1" t="s">
        <v>6</v>
      </c>
      <c r="C222" s="3" t="s">
        <v>9</v>
      </c>
      <c r="D222" s="2">
        <v>102</v>
      </c>
      <c r="E222" s="5">
        <v>34</v>
      </c>
      <c r="F222" s="34">
        <f t="shared" si="0"/>
        <v>0.33333333333333331</v>
      </c>
      <c r="G222" s="66" t="s">
        <v>149</v>
      </c>
      <c r="H222" s="70" t="s">
        <v>150</v>
      </c>
      <c r="I222" s="70" t="s">
        <v>151</v>
      </c>
      <c r="J222" s="70">
        <v>1985</v>
      </c>
    </row>
    <row r="223" spans="1:20" x14ac:dyDescent="0.2">
      <c r="A223" s="1" t="s">
        <v>98</v>
      </c>
      <c r="B223" s="1" t="s">
        <v>25</v>
      </c>
      <c r="C223" s="3" t="s">
        <v>9</v>
      </c>
      <c r="D223" s="2">
        <v>126</v>
      </c>
      <c r="E223" s="5">
        <v>37</v>
      </c>
      <c r="F223" s="34">
        <f t="shared" si="0"/>
        <v>0.29365079365079366</v>
      </c>
      <c r="G223" s="66" t="s">
        <v>149</v>
      </c>
      <c r="H223" s="70" t="s">
        <v>150</v>
      </c>
      <c r="I223" s="70" t="s">
        <v>151</v>
      </c>
      <c r="J223" s="70">
        <v>1985</v>
      </c>
    </row>
    <row r="224" spans="1:20" x14ac:dyDescent="0.2">
      <c r="A224" s="1" t="s">
        <v>98</v>
      </c>
      <c r="B224" s="1" t="s">
        <v>23</v>
      </c>
      <c r="C224" s="3" t="s">
        <v>9</v>
      </c>
      <c r="D224" s="2">
        <v>34</v>
      </c>
      <c r="E224" s="5">
        <v>6</v>
      </c>
      <c r="F224" s="34">
        <f t="shared" si="0"/>
        <v>0.17647058823529413</v>
      </c>
      <c r="G224" s="66" t="s">
        <v>149</v>
      </c>
      <c r="H224" s="70" t="s">
        <v>150</v>
      </c>
      <c r="I224" s="70" t="s">
        <v>151</v>
      </c>
      <c r="J224" s="70">
        <v>1985</v>
      </c>
    </row>
    <row r="225" spans="1:20" x14ac:dyDescent="0.2">
      <c r="A225" s="1" t="s">
        <v>98</v>
      </c>
      <c r="B225" s="1" t="s">
        <v>75</v>
      </c>
      <c r="C225" s="3" t="s">
        <v>9</v>
      </c>
      <c r="D225" s="2">
        <v>21</v>
      </c>
      <c r="E225" s="5">
        <v>11</v>
      </c>
      <c r="F225" s="34">
        <f t="shared" si="0"/>
        <v>0.52380952380952384</v>
      </c>
      <c r="G225" s="66" t="s">
        <v>149</v>
      </c>
      <c r="H225" s="70" t="s">
        <v>150</v>
      </c>
      <c r="I225" s="70" t="s">
        <v>151</v>
      </c>
      <c r="J225" s="70">
        <v>1985</v>
      </c>
    </row>
    <row r="226" spans="1:20" x14ac:dyDescent="0.2">
      <c r="A226" s="1" t="s">
        <v>98</v>
      </c>
      <c r="B226" s="1" t="s">
        <v>93</v>
      </c>
      <c r="C226" s="3" t="s">
        <v>9</v>
      </c>
      <c r="D226" s="2">
        <v>18</v>
      </c>
      <c r="E226" s="5">
        <v>9</v>
      </c>
      <c r="F226" s="34">
        <f t="shared" si="0"/>
        <v>0.5</v>
      </c>
      <c r="G226" s="66" t="s">
        <v>149</v>
      </c>
      <c r="H226" s="70" t="s">
        <v>150</v>
      </c>
      <c r="I226" s="70" t="s">
        <v>151</v>
      </c>
      <c r="J226" s="70">
        <v>1985</v>
      </c>
    </row>
    <row r="227" spans="1:20" x14ac:dyDescent="0.2">
      <c r="A227" s="1" t="s">
        <v>98</v>
      </c>
      <c r="B227" s="1" t="s">
        <v>94</v>
      </c>
      <c r="C227" s="3" t="s">
        <v>9</v>
      </c>
      <c r="D227" s="2">
        <v>61</v>
      </c>
      <c r="E227" s="5">
        <v>48</v>
      </c>
      <c r="F227" s="34">
        <f t="shared" si="0"/>
        <v>0.78688524590163933</v>
      </c>
      <c r="G227" s="66" t="s">
        <v>149</v>
      </c>
      <c r="H227" s="70" t="s">
        <v>150</v>
      </c>
      <c r="I227" s="70" t="s">
        <v>151</v>
      </c>
      <c r="J227" s="70">
        <v>1985</v>
      </c>
    </row>
    <row r="228" spans="1:20" x14ac:dyDescent="0.2">
      <c r="A228" s="1" t="s">
        <v>98</v>
      </c>
      <c r="B228" s="1" t="s">
        <v>26</v>
      </c>
      <c r="C228" s="3" t="s">
        <v>9</v>
      </c>
      <c r="D228" s="2">
        <v>49</v>
      </c>
      <c r="E228" s="5">
        <v>8</v>
      </c>
      <c r="F228" s="34">
        <f t="shared" si="0"/>
        <v>0.16326530612244897</v>
      </c>
      <c r="G228" s="66" t="s">
        <v>149</v>
      </c>
      <c r="H228" s="70" t="s">
        <v>150</v>
      </c>
      <c r="I228" s="70" t="s">
        <v>151</v>
      </c>
      <c r="J228" s="70">
        <v>1985</v>
      </c>
    </row>
    <row r="229" spans="1:20" x14ac:dyDescent="0.2">
      <c r="A229" s="1" t="s">
        <v>98</v>
      </c>
      <c r="B229" s="1" t="s">
        <v>61</v>
      </c>
      <c r="C229" s="3" t="s">
        <v>9</v>
      </c>
      <c r="D229" s="2">
        <v>20</v>
      </c>
      <c r="E229" s="5">
        <v>3</v>
      </c>
      <c r="F229" s="34">
        <f t="shared" si="0"/>
        <v>0.15</v>
      </c>
      <c r="G229" s="66" t="s">
        <v>149</v>
      </c>
      <c r="H229" s="70" t="s">
        <v>150</v>
      </c>
      <c r="I229" s="70" t="s">
        <v>151</v>
      </c>
      <c r="J229" s="70">
        <v>1985</v>
      </c>
    </row>
    <row r="230" spans="1:20" x14ac:dyDescent="0.2">
      <c r="A230" s="1" t="s">
        <v>98</v>
      </c>
      <c r="B230" s="1" t="s">
        <v>91</v>
      </c>
      <c r="C230" s="3" t="s">
        <v>9</v>
      </c>
      <c r="D230" s="2">
        <v>3</v>
      </c>
      <c r="E230" s="5">
        <v>1</v>
      </c>
      <c r="F230" s="34">
        <f t="shared" si="0"/>
        <v>0.33333333333333331</v>
      </c>
      <c r="G230" s="66" t="s">
        <v>149</v>
      </c>
      <c r="H230" s="70" t="s">
        <v>150</v>
      </c>
      <c r="I230" s="70" t="s">
        <v>151</v>
      </c>
      <c r="J230" s="70">
        <v>1985</v>
      </c>
    </row>
    <row r="231" spans="1:20" x14ac:dyDescent="0.2">
      <c r="A231" s="1" t="s">
        <v>98</v>
      </c>
      <c r="B231" s="1" t="s">
        <v>21</v>
      </c>
      <c r="C231" s="3" t="s">
        <v>9</v>
      </c>
      <c r="D231" s="2">
        <v>4</v>
      </c>
      <c r="E231" s="5">
        <v>1</v>
      </c>
      <c r="F231" s="34">
        <f t="shared" si="0"/>
        <v>0.25</v>
      </c>
      <c r="G231" s="66" t="s">
        <v>149</v>
      </c>
      <c r="H231" s="70" t="s">
        <v>150</v>
      </c>
      <c r="I231" s="70" t="s">
        <v>151</v>
      </c>
      <c r="J231" s="70">
        <v>1985</v>
      </c>
    </row>
    <row r="232" spans="1:20" x14ac:dyDescent="0.2">
      <c r="A232" s="1" t="s">
        <v>98</v>
      </c>
      <c r="B232" s="1" t="s">
        <v>27</v>
      </c>
      <c r="C232" s="3" t="s">
        <v>9</v>
      </c>
      <c r="D232" s="2">
        <v>31</v>
      </c>
      <c r="E232" s="5">
        <v>0</v>
      </c>
      <c r="F232" s="34">
        <f t="shared" si="0"/>
        <v>0</v>
      </c>
      <c r="G232" s="66" t="s">
        <v>149</v>
      </c>
      <c r="H232" s="70" t="s">
        <v>150</v>
      </c>
      <c r="I232" s="70" t="s">
        <v>151</v>
      </c>
      <c r="J232" s="70">
        <v>1985</v>
      </c>
    </row>
    <row r="233" spans="1:20" x14ac:dyDescent="0.2">
      <c r="A233" s="1" t="s">
        <v>98</v>
      </c>
      <c r="B233" s="1" t="s">
        <v>92</v>
      </c>
      <c r="C233" s="3" t="s">
        <v>9</v>
      </c>
      <c r="D233" s="2">
        <v>24</v>
      </c>
      <c r="E233" s="5">
        <v>2</v>
      </c>
      <c r="F233" s="34">
        <f t="shared" si="0"/>
        <v>8.3333333333333329E-2</v>
      </c>
      <c r="G233" s="66" t="s">
        <v>149</v>
      </c>
      <c r="H233" s="70" t="s">
        <v>150</v>
      </c>
      <c r="I233" s="70" t="s">
        <v>151</v>
      </c>
      <c r="J233" s="70">
        <v>1985</v>
      </c>
    </row>
    <row r="234" spans="1:20" x14ac:dyDescent="0.2">
      <c r="A234" s="1" t="s">
        <v>98</v>
      </c>
      <c r="B234" s="1" t="s">
        <v>68</v>
      </c>
      <c r="C234" s="3" t="s">
        <v>9</v>
      </c>
      <c r="D234" s="2">
        <v>26</v>
      </c>
      <c r="E234" s="5">
        <v>0</v>
      </c>
      <c r="F234" s="34">
        <f t="shared" si="0"/>
        <v>0</v>
      </c>
      <c r="G234" s="66" t="s">
        <v>149</v>
      </c>
      <c r="H234" s="70" t="s">
        <v>150</v>
      </c>
      <c r="I234" s="70" t="s">
        <v>151</v>
      </c>
      <c r="J234" s="70">
        <v>1985</v>
      </c>
    </row>
    <row r="235" spans="1:20" s="29" customFormat="1" ht="17" thickBot="1" x14ac:dyDescent="0.25">
      <c r="A235" s="48" t="s">
        <v>98</v>
      </c>
      <c r="B235" s="48" t="s">
        <v>17</v>
      </c>
      <c r="C235" s="49" t="s">
        <v>9</v>
      </c>
      <c r="D235" s="50">
        <v>17</v>
      </c>
      <c r="E235" s="51">
        <v>0</v>
      </c>
      <c r="F235" s="52">
        <f t="shared" si="0"/>
        <v>0</v>
      </c>
      <c r="G235" s="66" t="s">
        <v>149</v>
      </c>
      <c r="H235" s="70" t="s">
        <v>150</v>
      </c>
      <c r="I235" s="70" t="s">
        <v>151</v>
      </c>
      <c r="J235" s="70">
        <v>1985</v>
      </c>
      <c r="K235" s="71"/>
      <c r="L235" s="71"/>
      <c r="M235" s="71"/>
      <c r="N235" s="71"/>
      <c r="O235" s="71"/>
      <c r="P235" s="71"/>
      <c r="Q235" s="71"/>
      <c r="R235" s="71"/>
      <c r="S235" s="71"/>
      <c r="T235" s="71"/>
    </row>
    <row r="236" spans="1:20" x14ac:dyDescent="0.2">
      <c r="A236" s="1" t="s">
        <v>100</v>
      </c>
      <c r="B236" s="1" t="s">
        <v>25</v>
      </c>
      <c r="C236" s="3" t="s">
        <v>29</v>
      </c>
      <c r="D236" s="2">
        <v>212</v>
      </c>
      <c r="E236" s="5">
        <v>60</v>
      </c>
      <c r="F236" s="34">
        <f t="shared" si="0"/>
        <v>0.28301886792452829</v>
      </c>
      <c r="G236" s="66" t="s">
        <v>152</v>
      </c>
      <c r="H236" s="70">
        <v>47</v>
      </c>
      <c r="I236" s="70">
        <v>1724</v>
      </c>
      <c r="J236" s="70">
        <v>1981</v>
      </c>
    </row>
    <row r="237" spans="1:20" x14ac:dyDescent="0.2">
      <c r="A237" s="1" t="s">
        <v>100</v>
      </c>
      <c r="B237" s="1" t="s">
        <v>26</v>
      </c>
      <c r="C237" s="3" t="s">
        <v>29</v>
      </c>
      <c r="D237" s="2">
        <v>44</v>
      </c>
      <c r="E237" s="5">
        <v>12</v>
      </c>
      <c r="F237" s="34">
        <f t="shared" si="0"/>
        <v>0.27272727272727271</v>
      </c>
      <c r="G237" s="66" t="s">
        <v>152</v>
      </c>
      <c r="H237" s="70">
        <v>47</v>
      </c>
      <c r="I237" s="70">
        <v>1724</v>
      </c>
      <c r="J237" s="70">
        <v>1981</v>
      </c>
    </row>
    <row r="238" spans="1:20" x14ac:dyDescent="0.2">
      <c r="A238" s="1" t="s">
        <v>100</v>
      </c>
      <c r="B238" s="1" t="s">
        <v>28</v>
      </c>
      <c r="C238" s="3" t="s">
        <v>29</v>
      </c>
      <c r="D238" s="2">
        <v>13</v>
      </c>
      <c r="E238" s="5">
        <v>0</v>
      </c>
      <c r="F238" s="34">
        <f t="shared" si="0"/>
        <v>0</v>
      </c>
      <c r="G238" s="66" t="s">
        <v>152</v>
      </c>
      <c r="H238" s="70">
        <v>47</v>
      </c>
      <c r="I238" s="70">
        <v>1724</v>
      </c>
      <c r="J238" s="70">
        <v>1981</v>
      </c>
    </row>
    <row r="239" spans="1:20" x14ac:dyDescent="0.2">
      <c r="A239" s="1" t="s">
        <v>100</v>
      </c>
      <c r="B239" s="1" t="s">
        <v>68</v>
      </c>
      <c r="C239" s="3" t="s">
        <v>29</v>
      </c>
      <c r="D239" s="2">
        <v>34</v>
      </c>
      <c r="E239" s="5">
        <v>9</v>
      </c>
      <c r="F239" s="34">
        <f t="shared" si="0"/>
        <v>0.26470588235294118</v>
      </c>
      <c r="G239" s="66" t="s">
        <v>152</v>
      </c>
      <c r="H239" s="70">
        <v>47</v>
      </c>
      <c r="I239" s="70">
        <v>1724</v>
      </c>
      <c r="J239" s="70">
        <v>1981</v>
      </c>
    </row>
    <row r="240" spans="1:20" x14ac:dyDescent="0.2">
      <c r="A240" s="1" t="s">
        <v>100</v>
      </c>
      <c r="B240" s="1" t="s">
        <v>69</v>
      </c>
      <c r="C240" s="3" t="s">
        <v>29</v>
      </c>
      <c r="D240" s="2">
        <v>22</v>
      </c>
      <c r="E240" s="5">
        <v>8</v>
      </c>
      <c r="F240" s="34">
        <f t="shared" si="0"/>
        <v>0.36363636363636365</v>
      </c>
      <c r="G240" s="66" t="s">
        <v>152</v>
      </c>
      <c r="H240" s="70">
        <v>47</v>
      </c>
      <c r="I240" s="70">
        <v>1724</v>
      </c>
      <c r="J240" s="70">
        <v>1981</v>
      </c>
    </row>
    <row r="241" spans="1:20" x14ac:dyDescent="0.2">
      <c r="A241" s="1" t="s">
        <v>100</v>
      </c>
      <c r="B241" s="1" t="s">
        <v>6</v>
      </c>
      <c r="C241" s="3" t="s">
        <v>29</v>
      </c>
      <c r="D241" s="2">
        <v>15</v>
      </c>
      <c r="E241" s="5">
        <v>2</v>
      </c>
      <c r="F241" s="34">
        <f t="shared" si="0"/>
        <v>0.13333333333333333</v>
      </c>
      <c r="G241" s="66" t="s">
        <v>152</v>
      </c>
      <c r="H241" s="70">
        <v>47</v>
      </c>
      <c r="I241" s="70">
        <v>1724</v>
      </c>
      <c r="J241" s="70">
        <v>1981</v>
      </c>
    </row>
    <row r="242" spans="1:20" x14ac:dyDescent="0.2">
      <c r="A242" s="1" t="s">
        <v>100</v>
      </c>
      <c r="B242" s="1" t="s">
        <v>59</v>
      </c>
      <c r="C242" s="3" t="s">
        <v>29</v>
      </c>
      <c r="D242" s="2">
        <v>28</v>
      </c>
      <c r="E242" s="5">
        <v>1</v>
      </c>
      <c r="F242" s="34">
        <f t="shared" si="0"/>
        <v>3.5714285714285712E-2</v>
      </c>
      <c r="G242" s="66" t="s">
        <v>152</v>
      </c>
      <c r="H242" s="70">
        <v>47</v>
      </c>
      <c r="I242" s="70">
        <v>1724</v>
      </c>
      <c r="J242" s="70">
        <v>1981</v>
      </c>
    </row>
    <row r="243" spans="1:20" ht="17" thickBot="1" x14ac:dyDescent="0.25">
      <c r="A243" s="1" t="s">
        <v>100</v>
      </c>
      <c r="B243" s="1" t="s">
        <v>23</v>
      </c>
      <c r="C243" s="3" t="s">
        <v>29</v>
      </c>
      <c r="D243" s="2">
        <v>25</v>
      </c>
      <c r="E243" s="5">
        <v>1</v>
      </c>
      <c r="F243" s="34">
        <f t="shared" si="0"/>
        <v>0.04</v>
      </c>
      <c r="G243" s="66" t="s">
        <v>152</v>
      </c>
      <c r="H243" s="70">
        <v>47</v>
      </c>
      <c r="I243" s="70">
        <v>1724</v>
      </c>
      <c r="J243" s="70">
        <v>1981</v>
      </c>
    </row>
    <row r="244" spans="1:20" s="16" customFormat="1" x14ac:dyDescent="0.2">
      <c r="A244" s="11" t="s">
        <v>101</v>
      </c>
      <c r="B244" s="11" t="s">
        <v>26</v>
      </c>
      <c r="C244" s="12" t="s">
        <v>29</v>
      </c>
      <c r="D244" s="14">
        <v>53</v>
      </c>
      <c r="E244" s="15">
        <v>11</v>
      </c>
      <c r="F244" s="33">
        <f t="shared" si="0"/>
        <v>0.20754716981132076</v>
      </c>
      <c r="G244" s="66" t="s">
        <v>153</v>
      </c>
      <c r="H244" s="70"/>
      <c r="I244" s="70">
        <v>209</v>
      </c>
      <c r="J244" s="70">
        <v>1990</v>
      </c>
      <c r="K244" s="71"/>
      <c r="L244" s="71"/>
      <c r="M244" s="71"/>
      <c r="N244" s="71"/>
      <c r="O244" s="71"/>
      <c r="P244" s="71"/>
      <c r="Q244" s="71"/>
      <c r="R244" s="71"/>
      <c r="S244" s="71"/>
      <c r="T244" s="71"/>
    </row>
    <row r="245" spans="1:20" x14ac:dyDescent="0.2">
      <c r="A245" s="1" t="s">
        <v>101</v>
      </c>
      <c r="B245" s="1" t="s">
        <v>69</v>
      </c>
      <c r="C245" s="3" t="s">
        <v>29</v>
      </c>
      <c r="D245" s="2">
        <v>27</v>
      </c>
      <c r="E245" s="5">
        <v>3</v>
      </c>
      <c r="F245" s="34">
        <f t="shared" si="0"/>
        <v>0.1111111111111111</v>
      </c>
      <c r="G245" s="66" t="s">
        <v>153</v>
      </c>
      <c r="I245" s="70">
        <v>209</v>
      </c>
      <c r="J245" s="70">
        <v>1990</v>
      </c>
    </row>
    <row r="246" spans="1:20" x14ac:dyDescent="0.2">
      <c r="A246" s="1" t="s">
        <v>101</v>
      </c>
      <c r="B246" s="1" t="s">
        <v>68</v>
      </c>
      <c r="C246" s="3" t="s">
        <v>29</v>
      </c>
      <c r="D246" s="2">
        <v>91</v>
      </c>
      <c r="E246" s="5">
        <v>4</v>
      </c>
      <c r="F246" s="34">
        <f t="shared" si="0"/>
        <v>4.3956043956043959E-2</v>
      </c>
      <c r="G246" s="66" t="s">
        <v>153</v>
      </c>
      <c r="I246" s="70">
        <v>209</v>
      </c>
      <c r="J246" s="70">
        <v>1990</v>
      </c>
    </row>
    <row r="247" spans="1:20" x14ac:dyDescent="0.2">
      <c r="A247" s="1" t="s">
        <v>101</v>
      </c>
      <c r="B247" s="1" t="s">
        <v>28</v>
      </c>
      <c r="C247" s="3" t="s">
        <v>29</v>
      </c>
      <c r="D247" s="2">
        <v>31</v>
      </c>
      <c r="E247" s="5">
        <v>0</v>
      </c>
      <c r="F247" s="34">
        <f t="shared" si="0"/>
        <v>0</v>
      </c>
      <c r="G247" s="66" t="s">
        <v>153</v>
      </c>
      <c r="I247" s="70">
        <v>209</v>
      </c>
      <c r="J247" s="70">
        <v>1990</v>
      </c>
    </row>
    <row r="248" spans="1:20" x14ac:dyDescent="0.2">
      <c r="A248" s="1" t="s">
        <v>101</v>
      </c>
      <c r="B248" s="1" t="s">
        <v>6</v>
      </c>
      <c r="C248" s="3" t="s">
        <v>29</v>
      </c>
      <c r="D248" s="2">
        <v>28</v>
      </c>
      <c r="E248" s="5">
        <v>2</v>
      </c>
      <c r="F248" s="34">
        <f t="shared" si="0"/>
        <v>7.1428571428571425E-2</v>
      </c>
      <c r="G248" s="66" t="s">
        <v>153</v>
      </c>
      <c r="I248" s="70">
        <v>209</v>
      </c>
      <c r="J248" s="70">
        <v>1990</v>
      </c>
    </row>
    <row r="249" spans="1:20" s="29" customFormat="1" ht="17" thickBot="1" x14ac:dyDescent="0.25">
      <c r="A249" s="48" t="s">
        <v>101</v>
      </c>
      <c r="B249" s="48" t="s">
        <v>94</v>
      </c>
      <c r="C249" s="49" t="s">
        <v>29</v>
      </c>
      <c r="D249" s="50">
        <v>117</v>
      </c>
      <c r="E249" s="51">
        <v>14</v>
      </c>
      <c r="F249" s="52">
        <f t="shared" si="0"/>
        <v>0.11965811965811966</v>
      </c>
      <c r="G249" s="66" t="s">
        <v>153</v>
      </c>
      <c r="H249" s="70"/>
      <c r="I249" s="70">
        <v>209</v>
      </c>
      <c r="J249" s="70">
        <v>1990</v>
      </c>
      <c r="K249" s="71"/>
      <c r="L249" s="71"/>
      <c r="M249" s="71"/>
      <c r="N249" s="71"/>
      <c r="O249" s="71"/>
      <c r="P249" s="71"/>
      <c r="Q249" s="71"/>
      <c r="R249" s="71"/>
      <c r="S249" s="71"/>
      <c r="T249" s="71"/>
    </row>
    <row r="250" spans="1:20" x14ac:dyDescent="0.2">
      <c r="A250" s="1" t="s">
        <v>102</v>
      </c>
      <c r="B250" s="1" t="s">
        <v>23</v>
      </c>
      <c r="C250" s="3" t="s">
        <v>29</v>
      </c>
      <c r="D250" s="2">
        <v>25</v>
      </c>
      <c r="E250" s="5">
        <v>1</v>
      </c>
      <c r="F250" s="34">
        <f t="shared" si="0"/>
        <v>0.04</v>
      </c>
      <c r="G250" s="66" t="s">
        <v>154</v>
      </c>
      <c r="H250" s="70">
        <v>78</v>
      </c>
      <c r="I250" s="70">
        <v>654</v>
      </c>
      <c r="J250" s="70">
        <v>1996</v>
      </c>
    </row>
    <row r="251" spans="1:20" x14ac:dyDescent="0.2">
      <c r="A251" s="1" t="s">
        <v>102</v>
      </c>
      <c r="B251" s="1" t="s">
        <v>50</v>
      </c>
      <c r="C251" s="3" t="s">
        <v>29</v>
      </c>
      <c r="D251" s="2">
        <v>58</v>
      </c>
      <c r="E251" s="5">
        <v>3</v>
      </c>
      <c r="F251" s="34">
        <f t="shared" si="0"/>
        <v>5.1724137931034482E-2</v>
      </c>
      <c r="G251" s="66" t="s">
        <v>154</v>
      </c>
      <c r="H251" s="70">
        <v>78</v>
      </c>
      <c r="I251" s="70">
        <v>654</v>
      </c>
      <c r="J251" s="70">
        <v>1996</v>
      </c>
    </row>
    <row r="252" spans="1:20" x14ac:dyDescent="0.2">
      <c r="A252" s="1" t="s">
        <v>102</v>
      </c>
      <c r="B252" s="1" t="s">
        <v>94</v>
      </c>
      <c r="C252" s="3" t="s">
        <v>29</v>
      </c>
      <c r="D252" s="2">
        <v>116</v>
      </c>
      <c r="E252" s="5">
        <v>12</v>
      </c>
      <c r="F252" s="34">
        <f t="shared" si="0"/>
        <v>0.10344827586206896</v>
      </c>
      <c r="G252" s="66" t="s">
        <v>154</v>
      </c>
      <c r="H252" s="70">
        <v>78</v>
      </c>
      <c r="I252" s="70">
        <v>654</v>
      </c>
      <c r="J252" s="70">
        <v>1996</v>
      </c>
    </row>
    <row r="253" spans="1:20" x14ac:dyDescent="0.2">
      <c r="A253" s="1" t="s">
        <v>102</v>
      </c>
      <c r="B253" s="1" t="s">
        <v>28</v>
      </c>
      <c r="C253" s="3" t="s">
        <v>29</v>
      </c>
      <c r="D253" s="2">
        <v>22</v>
      </c>
      <c r="E253" s="5">
        <v>0</v>
      </c>
      <c r="F253" s="34">
        <f t="shared" si="0"/>
        <v>0</v>
      </c>
      <c r="G253" s="66" t="s">
        <v>154</v>
      </c>
      <c r="H253" s="70">
        <v>78</v>
      </c>
      <c r="I253" s="70">
        <v>654</v>
      </c>
      <c r="J253" s="70">
        <v>1996</v>
      </c>
    </row>
    <row r="254" spans="1:20" x14ac:dyDescent="0.2">
      <c r="A254" s="1" t="s">
        <v>102</v>
      </c>
      <c r="B254" s="1" t="s">
        <v>27</v>
      </c>
      <c r="C254" s="3" t="s">
        <v>29</v>
      </c>
      <c r="D254" s="2">
        <v>19</v>
      </c>
      <c r="E254" s="5">
        <v>3</v>
      </c>
      <c r="F254" s="34">
        <f t="shared" si="0"/>
        <v>0.15789473684210525</v>
      </c>
      <c r="G254" s="66" t="s">
        <v>154</v>
      </c>
      <c r="H254" s="70">
        <v>78</v>
      </c>
      <c r="I254" s="70">
        <v>654</v>
      </c>
      <c r="J254" s="70">
        <v>1996</v>
      </c>
    </row>
    <row r="255" spans="1:20" x14ac:dyDescent="0.2">
      <c r="A255" s="1" t="s">
        <v>102</v>
      </c>
      <c r="B255" s="1" t="s">
        <v>68</v>
      </c>
      <c r="C255" s="3" t="s">
        <v>29</v>
      </c>
      <c r="D255" s="2">
        <v>83</v>
      </c>
      <c r="E255" s="5">
        <v>6</v>
      </c>
      <c r="F255" s="34">
        <f t="shared" ref="F255:F260" si="1">E255/D255</f>
        <v>7.2289156626506021E-2</v>
      </c>
      <c r="G255" s="66" t="s">
        <v>154</v>
      </c>
      <c r="H255" s="70">
        <v>78</v>
      </c>
      <c r="I255" s="70">
        <v>654</v>
      </c>
      <c r="J255" s="70">
        <v>1996</v>
      </c>
    </row>
    <row r="256" spans="1:20" x14ac:dyDescent="0.2">
      <c r="A256" s="1" t="s">
        <v>102</v>
      </c>
      <c r="B256" s="1" t="s">
        <v>69</v>
      </c>
      <c r="C256" s="3" t="s">
        <v>29</v>
      </c>
      <c r="D256" s="2">
        <v>27</v>
      </c>
      <c r="E256" s="5">
        <v>3</v>
      </c>
      <c r="F256" s="34">
        <f t="shared" si="1"/>
        <v>0.1111111111111111</v>
      </c>
      <c r="G256" s="66" t="s">
        <v>154</v>
      </c>
      <c r="H256" s="70">
        <v>78</v>
      </c>
      <c r="I256" s="70">
        <v>654</v>
      </c>
      <c r="J256" s="70">
        <v>1996</v>
      </c>
    </row>
    <row r="257" spans="1:20" x14ac:dyDescent="0.2">
      <c r="A257" s="1" t="s">
        <v>102</v>
      </c>
      <c r="B257" s="1" t="s">
        <v>26</v>
      </c>
      <c r="C257" s="3" t="s">
        <v>29</v>
      </c>
      <c r="D257" s="2">
        <v>44</v>
      </c>
      <c r="E257" s="5">
        <v>12</v>
      </c>
      <c r="F257" s="34">
        <f t="shared" si="1"/>
        <v>0.27272727272727271</v>
      </c>
      <c r="G257" s="66" t="s">
        <v>154</v>
      </c>
      <c r="H257" s="70">
        <v>78</v>
      </c>
      <c r="I257" s="70">
        <v>654</v>
      </c>
      <c r="J257" s="70">
        <v>1996</v>
      </c>
    </row>
    <row r="258" spans="1:20" x14ac:dyDescent="0.2">
      <c r="A258" s="1" t="s">
        <v>102</v>
      </c>
      <c r="B258" s="1" t="s">
        <v>6</v>
      </c>
      <c r="C258" s="3" t="s">
        <v>29</v>
      </c>
      <c r="D258" s="2">
        <v>25</v>
      </c>
      <c r="E258" s="5">
        <v>3</v>
      </c>
      <c r="F258" s="34">
        <f t="shared" si="1"/>
        <v>0.12</v>
      </c>
      <c r="G258" s="66" t="s">
        <v>154</v>
      </c>
      <c r="H258" s="70">
        <v>78</v>
      </c>
      <c r="I258" s="70">
        <v>654</v>
      </c>
      <c r="J258" s="70">
        <v>1996</v>
      </c>
    </row>
    <row r="259" spans="1:20" x14ac:dyDescent="0.2">
      <c r="A259" s="1" t="s">
        <v>102</v>
      </c>
      <c r="B259" s="1" t="s">
        <v>99</v>
      </c>
      <c r="C259" s="3" t="s">
        <v>29</v>
      </c>
      <c r="D259" s="2">
        <v>40</v>
      </c>
      <c r="E259" s="5">
        <v>8</v>
      </c>
      <c r="F259" s="34">
        <f t="shared" si="1"/>
        <v>0.2</v>
      </c>
      <c r="G259" s="66" t="s">
        <v>154</v>
      </c>
      <c r="H259" s="70">
        <v>78</v>
      </c>
      <c r="I259" s="70">
        <v>654</v>
      </c>
      <c r="J259" s="70">
        <v>1996</v>
      </c>
    </row>
    <row r="260" spans="1:20" x14ac:dyDescent="0.2">
      <c r="A260" s="1" t="s">
        <v>102</v>
      </c>
      <c r="B260" s="1" t="s">
        <v>59</v>
      </c>
      <c r="C260" s="3" t="s">
        <v>29</v>
      </c>
      <c r="D260" s="2">
        <v>28</v>
      </c>
      <c r="E260" s="5">
        <v>2</v>
      </c>
      <c r="F260" s="34">
        <f t="shared" si="1"/>
        <v>7.1428571428571425E-2</v>
      </c>
      <c r="G260" s="66" t="s">
        <v>154</v>
      </c>
      <c r="H260" s="70">
        <v>78</v>
      </c>
      <c r="I260" s="70">
        <v>654</v>
      </c>
      <c r="J260" s="70">
        <v>1996</v>
      </c>
    </row>
    <row r="261" spans="1:20" s="29" customFormat="1" ht="17" thickBot="1" x14ac:dyDescent="0.25">
      <c r="A261" s="48" t="s">
        <v>102</v>
      </c>
      <c r="B261" s="48" t="s">
        <v>91</v>
      </c>
      <c r="C261" s="49" t="s">
        <v>29</v>
      </c>
      <c r="D261" s="50">
        <v>15</v>
      </c>
      <c r="E261" s="51">
        <v>1</v>
      </c>
      <c r="F261" s="52">
        <f t="shared" ref="F261:F272" si="2">E261/D261</f>
        <v>6.6666666666666666E-2</v>
      </c>
      <c r="G261" s="66" t="s">
        <v>154</v>
      </c>
      <c r="H261" s="70">
        <v>78</v>
      </c>
      <c r="I261" s="70">
        <v>654</v>
      </c>
      <c r="J261" s="70">
        <v>1996</v>
      </c>
      <c r="K261" s="71"/>
      <c r="L261" s="71"/>
      <c r="M261" s="71"/>
      <c r="N261" s="71"/>
      <c r="O261" s="71"/>
      <c r="P261" s="71"/>
      <c r="Q261" s="71"/>
      <c r="R261" s="71"/>
      <c r="S261" s="71"/>
      <c r="T261" s="71"/>
    </row>
    <row r="262" spans="1:20" x14ac:dyDescent="0.2">
      <c r="A262" s="1" t="s">
        <v>103</v>
      </c>
      <c r="B262" s="1" t="s">
        <v>6</v>
      </c>
      <c r="C262" s="3" t="s">
        <v>10</v>
      </c>
      <c r="D262" s="2">
        <v>356</v>
      </c>
      <c r="E262" s="5">
        <v>93</v>
      </c>
      <c r="F262" s="34">
        <f t="shared" si="2"/>
        <v>0.2612359550561798</v>
      </c>
      <c r="G262" s="66" t="s">
        <v>155</v>
      </c>
      <c r="H262" s="70">
        <v>4</v>
      </c>
      <c r="I262" s="70">
        <v>53</v>
      </c>
      <c r="J262" s="70">
        <v>1988</v>
      </c>
    </row>
    <row r="263" spans="1:20" x14ac:dyDescent="0.2">
      <c r="A263" s="1" t="s">
        <v>103</v>
      </c>
      <c r="B263" s="1" t="s">
        <v>23</v>
      </c>
      <c r="C263" s="3" t="s">
        <v>10</v>
      </c>
      <c r="D263" s="2">
        <v>49</v>
      </c>
      <c r="E263" s="5">
        <v>9</v>
      </c>
      <c r="F263" s="34">
        <f t="shared" si="2"/>
        <v>0.18367346938775511</v>
      </c>
      <c r="G263" s="66" t="s">
        <v>155</v>
      </c>
      <c r="H263" s="70">
        <v>4</v>
      </c>
      <c r="I263" s="70">
        <v>53</v>
      </c>
      <c r="J263" s="70">
        <v>1988</v>
      </c>
    </row>
    <row r="264" spans="1:20" x14ac:dyDescent="0.2">
      <c r="A264" s="1" t="s">
        <v>103</v>
      </c>
      <c r="B264" s="1" t="s">
        <v>18</v>
      </c>
      <c r="C264" s="3" t="s">
        <v>10</v>
      </c>
      <c r="D264" s="2">
        <v>32</v>
      </c>
      <c r="E264" s="5">
        <v>2</v>
      </c>
      <c r="F264" s="34">
        <f t="shared" si="2"/>
        <v>6.25E-2</v>
      </c>
      <c r="G264" s="66" t="s">
        <v>155</v>
      </c>
      <c r="H264" s="70">
        <v>4</v>
      </c>
      <c r="I264" s="70">
        <v>53</v>
      </c>
      <c r="J264" s="70">
        <v>1988</v>
      </c>
    </row>
    <row r="265" spans="1:20" x14ac:dyDescent="0.2">
      <c r="A265" s="1" t="s">
        <v>103</v>
      </c>
      <c r="B265" s="1" t="s">
        <v>59</v>
      </c>
      <c r="C265" s="3" t="s">
        <v>10</v>
      </c>
      <c r="D265" s="2">
        <v>30</v>
      </c>
      <c r="E265" s="5">
        <v>5</v>
      </c>
      <c r="F265" s="34">
        <f t="shared" si="2"/>
        <v>0.16666666666666666</v>
      </c>
      <c r="G265" s="66" t="s">
        <v>155</v>
      </c>
      <c r="H265" s="70">
        <v>4</v>
      </c>
      <c r="I265" s="70">
        <v>53</v>
      </c>
      <c r="J265" s="70">
        <v>1988</v>
      </c>
    </row>
    <row r="266" spans="1:20" x14ac:dyDescent="0.2">
      <c r="A266" s="1" t="s">
        <v>103</v>
      </c>
      <c r="B266" s="1" t="s">
        <v>17</v>
      </c>
      <c r="C266" s="3" t="s">
        <v>10</v>
      </c>
      <c r="D266" s="2">
        <v>19</v>
      </c>
      <c r="E266" s="5">
        <v>1</v>
      </c>
      <c r="F266" s="34">
        <f t="shared" si="2"/>
        <v>5.2631578947368418E-2</v>
      </c>
      <c r="G266" s="66" t="s">
        <v>155</v>
      </c>
      <c r="H266" s="70">
        <v>4</v>
      </c>
      <c r="I266" s="70">
        <v>53</v>
      </c>
      <c r="J266" s="70">
        <v>1988</v>
      </c>
    </row>
    <row r="267" spans="1:20" x14ac:dyDescent="0.2">
      <c r="A267" s="1" t="s">
        <v>103</v>
      </c>
      <c r="B267" s="1" t="s">
        <v>92</v>
      </c>
      <c r="C267" s="3" t="s">
        <v>10</v>
      </c>
      <c r="D267" s="2">
        <v>41</v>
      </c>
      <c r="E267" s="5">
        <v>3</v>
      </c>
      <c r="F267" s="34">
        <f t="shared" si="2"/>
        <v>7.3170731707317069E-2</v>
      </c>
      <c r="G267" s="66" t="s">
        <v>155</v>
      </c>
      <c r="H267" s="70">
        <v>4</v>
      </c>
      <c r="I267" s="70">
        <v>53</v>
      </c>
      <c r="J267" s="70">
        <v>1988</v>
      </c>
    </row>
    <row r="268" spans="1:20" x14ac:dyDescent="0.2">
      <c r="A268" s="1" t="s">
        <v>103</v>
      </c>
      <c r="B268" s="1" t="s">
        <v>75</v>
      </c>
      <c r="C268" s="3" t="s">
        <v>10</v>
      </c>
      <c r="D268" s="2">
        <v>85</v>
      </c>
      <c r="E268" s="5">
        <v>11</v>
      </c>
      <c r="F268" s="34">
        <f t="shared" si="2"/>
        <v>0.12941176470588237</v>
      </c>
      <c r="G268" s="66" t="s">
        <v>155</v>
      </c>
      <c r="H268" s="70">
        <v>4</v>
      </c>
      <c r="I268" s="70">
        <v>53</v>
      </c>
      <c r="J268" s="70">
        <v>1988</v>
      </c>
    </row>
    <row r="269" spans="1:20" x14ac:dyDescent="0.2">
      <c r="A269" s="1" t="s">
        <v>103</v>
      </c>
      <c r="B269" s="1" t="s">
        <v>24</v>
      </c>
      <c r="C269" s="3" t="s">
        <v>10</v>
      </c>
      <c r="D269" s="2">
        <v>15</v>
      </c>
      <c r="E269" s="5">
        <v>2</v>
      </c>
      <c r="F269" s="34">
        <f t="shared" si="2"/>
        <v>0.13333333333333333</v>
      </c>
      <c r="G269" s="66" t="s">
        <v>155</v>
      </c>
      <c r="H269" s="70">
        <v>4</v>
      </c>
      <c r="I269" s="70">
        <v>53</v>
      </c>
      <c r="J269" s="70">
        <v>1988</v>
      </c>
    </row>
    <row r="270" spans="1:20" x14ac:dyDescent="0.2">
      <c r="A270" s="1" t="s">
        <v>103</v>
      </c>
      <c r="B270" s="1" t="s">
        <v>27</v>
      </c>
      <c r="C270" s="3" t="s">
        <v>10</v>
      </c>
      <c r="D270" s="2">
        <v>19</v>
      </c>
      <c r="E270" s="5">
        <v>2</v>
      </c>
      <c r="F270" s="34">
        <f t="shared" si="2"/>
        <v>0.10526315789473684</v>
      </c>
      <c r="G270" s="66" t="s">
        <v>155</v>
      </c>
      <c r="H270" s="70">
        <v>4</v>
      </c>
      <c r="I270" s="70">
        <v>53</v>
      </c>
      <c r="J270" s="70">
        <v>1988</v>
      </c>
    </row>
    <row r="271" spans="1:20" x14ac:dyDescent="0.2">
      <c r="A271" s="1" t="s">
        <v>103</v>
      </c>
      <c r="B271" s="1" t="s">
        <v>19</v>
      </c>
      <c r="C271" s="3" t="s">
        <v>10</v>
      </c>
      <c r="D271" s="2">
        <v>109</v>
      </c>
      <c r="E271" s="5">
        <v>17</v>
      </c>
      <c r="F271" s="34">
        <f t="shared" si="2"/>
        <v>0.15596330275229359</v>
      </c>
      <c r="G271" s="66" t="s">
        <v>155</v>
      </c>
      <c r="H271" s="70">
        <v>4</v>
      </c>
      <c r="I271" s="70">
        <v>53</v>
      </c>
      <c r="J271" s="70">
        <v>1988</v>
      </c>
    </row>
    <row r="272" spans="1:20" x14ac:dyDescent="0.2">
      <c r="A272" s="1" t="s">
        <v>103</v>
      </c>
      <c r="B272" s="1" t="s">
        <v>94</v>
      </c>
      <c r="C272" s="3" t="s">
        <v>10</v>
      </c>
      <c r="D272" s="2">
        <v>188</v>
      </c>
      <c r="E272" s="5">
        <v>65</v>
      </c>
      <c r="F272" s="34">
        <f t="shared" si="2"/>
        <v>0.34574468085106386</v>
      </c>
      <c r="G272" s="66" t="s">
        <v>155</v>
      </c>
      <c r="H272" s="70">
        <v>4</v>
      </c>
      <c r="I272" s="70">
        <v>53</v>
      </c>
      <c r="J272" s="70">
        <v>1988</v>
      </c>
    </row>
  </sheetData>
  <phoneticPr fontId="2" type="noConversion"/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3D21-84A6-F14F-BB38-B97293F3C5D4}">
  <dimension ref="A1:F199"/>
  <sheetViews>
    <sheetView topLeftCell="A66" workbookViewId="0">
      <selection activeCell="F64" sqref="F64"/>
    </sheetView>
  </sheetViews>
  <sheetFormatPr baseColWidth="10" defaultRowHeight="16" x14ac:dyDescent="0.2"/>
  <cols>
    <col min="1" max="1" width="15.83203125" customWidth="1"/>
    <col min="2" max="2" width="7.5" style="24" customWidth="1"/>
    <col min="3" max="3" width="8.5" style="24" customWidth="1"/>
    <col min="4" max="4" width="7" style="24" customWidth="1"/>
    <col min="5" max="5" width="13.6640625" style="26" customWidth="1"/>
  </cols>
  <sheetData>
    <row r="1" spans="1:6" x14ac:dyDescent="0.2">
      <c r="A1" s="8" t="s">
        <v>7</v>
      </c>
      <c r="B1" s="22" t="s">
        <v>4</v>
      </c>
      <c r="C1" s="23" t="s">
        <v>5</v>
      </c>
      <c r="D1" s="22" t="s">
        <v>3</v>
      </c>
      <c r="E1" s="25" t="s">
        <v>0</v>
      </c>
      <c r="F1" s="7" t="s">
        <v>33</v>
      </c>
    </row>
    <row r="2" spans="1:6" x14ac:dyDescent="0.2">
      <c r="A2" t="s">
        <v>34</v>
      </c>
      <c r="B2" s="24" t="s">
        <v>1</v>
      </c>
      <c r="C2" s="24">
        <v>98</v>
      </c>
      <c r="D2" s="24">
        <v>33</v>
      </c>
      <c r="E2" s="26">
        <f>D2/C2</f>
        <v>0.33673469387755101</v>
      </c>
    </row>
    <row r="3" spans="1:6" x14ac:dyDescent="0.2">
      <c r="A3" t="s">
        <v>34</v>
      </c>
      <c r="B3" s="24" t="s">
        <v>8</v>
      </c>
      <c r="C3" s="24">
        <v>50</v>
      </c>
      <c r="D3" s="24">
        <v>6</v>
      </c>
      <c r="E3" s="26">
        <f t="shared" ref="E3:E62" si="0">D3/C3</f>
        <v>0.12</v>
      </c>
    </row>
    <row r="4" spans="1:6" x14ac:dyDescent="0.2">
      <c r="A4" t="s">
        <v>34</v>
      </c>
      <c r="B4" s="24" t="s">
        <v>14</v>
      </c>
      <c r="C4" s="24">
        <v>34</v>
      </c>
      <c r="D4" s="24">
        <v>3</v>
      </c>
      <c r="E4" s="26">
        <f t="shared" si="0"/>
        <v>8.8235294117647065E-2</v>
      </c>
    </row>
    <row r="5" spans="1:6" x14ac:dyDescent="0.2">
      <c r="A5" t="s">
        <v>34</v>
      </c>
      <c r="B5" s="24" t="s">
        <v>32</v>
      </c>
      <c r="C5" s="24">
        <v>391</v>
      </c>
      <c r="D5" s="24">
        <v>81</v>
      </c>
      <c r="E5" s="26">
        <f t="shared" si="0"/>
        <v>0.20716112531969311</v>
      </c>
    </row>
    <row r="6" spans="1:6" x14ac:dyDescent="0.2">
      <c r="A6" t="s">
        <v>34</v>
      </c>
      <c r="B6" s="24" t="s">
        <v>39</v>
      </c>
      <c r="C6" s="24">
        <v>29</v>
      </c>
      <c r="D6" s="24">
        <v>2</v>
      </c>
      <c r="E6" s="26">
        <f t="shared" si="0"/>
        <v>6.8965517241379309E-2</v>
      </c>
    </row>
    <row r="7" spans="1:6" x14ac:dyDescent="0.2">
      <c r="A7" t="s">
        <v>34</v>
      </c>
      <c r="B7" s="24" t="s">
        <v>35</v>
      </c>
      <c r="C7" s="24">
        <v>682</v>
      </c>
      <c r="D7" s="24">
        <v>432</v>
      </c>
      <c r="E7" s="26">
        <f t="shared" si="0"/>
        <v>0.63343108504398826</v>
      </c>
    </row>
    <row r="8" spans="1:6" x14ac:dyDescent="0.2">
      <c r="A8" t="s">
        <v>34</v>
      </c>
      <c r="B8" s="24" t="s">
        <v>31</v>
      </c>
      <c r="C8" s="24">
        <v>26</v>
      </c>
      <c r="D8" s="24">
        <v>9</v>
      </c>
      <c r="E8" s="26">
        <f t="shared" si="0"/>
        <v>0.34615384615384615</v>
      </c>
    </row>
    <row r="9" spans="1:6" x14ac:dyDescent="0.2">
      <c r="A9" t="s">
        <v>34</v>
      </c>
      <c r="B9" s="24" t="s">
        <v>9</v>
      </c>
      <c r="C9" s="24">
        <v>9</v>
      </c>
      <c r="D9" s="24">
        <v>4</v>
      </c>
      <c r="E9" s="26">
        <f t="shared" si="0"/>
        <v>0.44444444444444442</v>
      </c>
    </row>
    <row r="10" spans="1:6" x14ac:dyDescent="0.2">
      <c r="A10" t="s">
        <v>34</v>
      </c>
      <c r="B10" s="24" t="s">
        <v>30</v>
      </c>
      <c r="C10" s="24">
        <v>20</v>
      </c>
      <c r="D10" s="24">
        <v>6</v>
      </c>
      <c r="E10" s="26">
        <f t="shared" si="0"/>
        <v>0.3</v>
      </c>
    </row>
    <row r="11" spans="1:6" x14ac:dyDescent="0.2">
      <c r="A11" t="s">
        <v>34</v>
      </c>
      <c r="B11" s="24" t="s">
        <v>37</v>
      </c>
      <c r="C11" s="24">
        <v>12</v>
      </c>
      <c r="D11" s="24">
        <v>0</v>
      </c>
      <c r="E11" s="26">
        <f t="shared" si="0"/>
        <v>0</v>
      </c>
    </row>
    <row r="12" spans="1:6" x14ac:dyDescent="0.2">
      <c r="A12" t="s">
        <v>34</v>
      </c>
      <c r="B12" s="24" t="s">
        <v>38</v>
      </c>
      <c r="C12" s="24">
        <v>82</v>
      </c>
      <c r="D12" s="24">
        <v>32</v>
      </c>
      <c r="E12" s="26">
        <f t="shared" si="0"/>
        <v>0.3902439024390244</v>
      </c>
    </row>
    <row r="13" spans="1:6" x14ac:dyDescent="0.2">
      <c r="A13" t="s">
        <v>34</v>
      </c>
      <c r="B13" s="24" t="s">
        <v>40</v>
      </c>
      <c r="C13" s="24">
        <v>44</v>
      </c>
      <c r="D13" s="24">
        <v>26</v>
      </c>
      <c r="E13" s="26">
        <f t="shared" si="0"/>
        <v>0.59090909090909094</v>
      </c>
    </row>
    <row r="14" spans="1:6" ht="17" thickBot="1" x14ac:dyDescent="0.25">
      <c r="A14" t="s">
        <v>34</v>
      </c>
      <c r="B14" s="24" t="s">
        <v>13</v>
      </c>
      <c r="C14" s="24">
        <v>66</v>
      </c>
      <c r="D14" s="24">
        <v>5</v>
      </c>
      <c r="E14" s="26">
        <f t="shared" si="0"/>
        <v>7.575757575757576E-2</v>
      </c>
    </row>
    <row r="15" spans="1:6" s="16" customFormat="1" x14ac:dyDescent="0.2">
      <c r="A15" s="16" t="s">
        <v>24</v>
      </c>
      <c r="B15" s="27" t="s">
        <v>1</v>
      </c>
      <c r="C15" s="27">
        <v>189</v>
      </c>
      <c r="D15" s="27">
        <v>60</v>
      </c>
      <c r="E15" s="28">
        <f t="shared" si="0"/>
        <v>0.31746031746031744</v>
      </c>
    </row>
    <row r="16" spans="1:6" x14ac:dyDescent="0.2">
      <c r="A16" t="s">
        <v>24</v>
      </c>
      <c r="B16" s="24" t="s">
        <v>8</v>
      </c>
      <c r="C16" s="24">
        <v>43</v>
      </c>
      <c r="D16" s="24">
        <v>7</v>
      </c>
      <c r="E16" s="26">
        <f t="shared" si="0"/>
        <v>0.16279069767441862</v>
      </c>
    </row>
    <row r="17" spans="1:5" x14ac:dyDescent="0.2">
      <c r="A17" t="s">
        <v>24</v>
      </c>
      <c r="B17" s="24" t="s">
        <v>14</v>
      </c>
      <c r="C17" s="24">
        <v>31</v>
      </c>
      <c r="D17" s="24">
        <v>8</v>
      </c>
      <c r="E17" s="26">
        <f t="shared" si="0"/>
        <v>0.25806451612903225</v>
      </c>
    </row>
    <row r="18" spans="1:5" x14ac:dyDescent="0.2">
      <c r="A18" t="s">
        <v>24</v>
      </c>
      <c r="B18" s="24" t="s">
        <v>32</v>
      </c>
      <c r="C18" s="24">
        <v>509</v>
      </c>
      <c r="D18" s="24">
        <v>168</v>
      </c>
      <c r="E18" s="26">
        <f t="shared" si="0"/>
        <v>0.33005893909626721</v>
      </c>
    </row>
    <row r="19" spans="1:5" x14ac:dyDescent="0.2">
      <c r="A19" t="s">
        <v>24</v>
      </c>
      <c r="B19" s="24" t="s">
        <v>35</v>
      </c>
      <c r="C19" s="24">
        <v>452</v>
      </c>
      <c r="D19" s="24">
        <v>245</v>
      </c>
      <c r="E19" s="26">
        <f t="shared" si="0"/>
        <v>0.54203539823008851</v>
      </c>
    </row>
    <row r="20" spans="1:5" x14ac:dyDescent="0.2">
      <c r="A20" t="s">
        <v>24</v>
      </c>
      <c r="B20" s="24" t="s">
        <v>31</v>
      </c>
      <c r="C20" s="24">
        <v>584</v>
      </c>
      <c r="D20" s="24">
        <v>343</v>
      </c>
      <c r="E20" s="26">
        <f t="shared" si="0"/>
        <v>0.58732876712328763</v>
      </c>
    </row>
    <row r="21" spans="1:5" x14ac:dyDescent="0.2">
      <c r="A21" t="s">
        <v>24</v>
      </c>
      <c r="B21" s="24" t="s">
        <v>41</v>
      </c>
      <c r="C21" s="24">
        <v>347</v>
      </c>
      <c r="D21" s="24">
        <v>101</v>
      </c>
      <c r="E21" s="26">
        <f t="shared" si="0"/>
        <v>0.29106628242074928</v>
      </c>
    </row>
    <row r="22" spans="1:5" x14ac:dyDescent="0.2">
      <c r="A22" t="s">
        <v>24</v>
      </c>
      <c r="B22" s="24" t="s">
        <v>39</v>
      </c>
      <c r="C22" s="24">
        <v>76</v>
      </c>
      <c r="D22" s="24">
        <v>8</v>
      </c>
      <c r="E22" s="26">
        <f t="shared" si="0"/>
        <v>0.10526315789473684</v>
      </c>
    </row>
    <row r="23" spans="1:5" x14ac:dyDescent="0.2">
      <c r="A23" t="s">
        <v>24</v>
      </c>
      <c r="B23" s="24" t="s">
        <v>15</v>
      </c>
      <c r="C23" s="24">
        <v>413</v>
      </c>
      <c r="D23" s="24">
        <v>120</v>
      </c>
      <c r="E23" s="26">
        <f t="shared" si="0"/>
        <v>0.29055690072639223</v>
      </c>
    </row>
    <row r="24" spans="1:5" x14ac:dyDescent="0.2">
      <c r="A24" t="s">
        <v>24</v>
      </c>
      <c r="B24" s="24" t="s">
        <v>38</v>
      </c>
      <c r="C24" s="24">
        <v>142</v>
      </c>
      <c r="D24" s="24">
        <v>60</v>
      </c>
      <c r="E24" s="26">
        <f t="shared" si="0"/>
        <v>0.42253521126760563</v>
      </c>
    </row>
    <row r="25" spans="1:5" x14ac:dyDescent="0.2">
      <c r="A25" t="s">
        <v>24</v>
      </c>
      <c r="B25" s="24" t="s">
        <v>40</v>
      </c>
      <c r="C25" s="24">
        <v>41</v>
      </c>
      <c r="D25" s="24">
        <v>21</v>
      </c>
      <c r="E25" s="26">
        <f t="shared" si="0"/>
        <v>0.51219512195121952</v>
      </c>
    </row>
    <row r="26" spans="1:5" x14ac:dyDescent="0.2">
      <c r="A26" t="s">
        <v>24</v>
      </c>
      <c r="B26" s="24" t="s">
        <v>13</v>
      </c>
      <c r="C26" s="24">
        <v>77</v>
      </c>
      <c r="D26" s="24">
        <v>28</v>
      </c>
      <c r="E26" s="26">
        <f t="shared" si="0"/>
        <v>0.36363636363636365</v>
      </c>
    </row>
    <row r="27" spans="1:5" x14ac:dyDescent="0.2">
      <c r="A27" t="s">
        <v>24</v>
      </c>
      <c r="B27" s="24" t="s">
        <v>37</v>
      </c>
      <c r="C27" s="24">
        <v>187</v>
      </c>
      <c r="D27" s="24">
        <v>36</v>
      </c>
      <c r="E27" s="26">
        <f t="shared" si="0"/>
        <v>0.19251336898395721</v>
      </c>
    </row>
    <row r="28" spans="1:5" x14ac:dyDescent="0.2">
      <c r="A28" t="s">
        <v>24</v>
      </c>
      <c r="B28" s="24" t="s">
        <v>42</v>
      </c>
      <c r="C28" s="24">
        <v>187</v>
      </c>
      <c r="D28" s="24">
        <v>36</v>
      </c>
      <c r="E28" s="26">
        <f t="shared" si="0"/>
        <v>0.19251336898395721</v>
      </c>
    </row>
    <row r="29" spans="1:5" x14ac:dyDescent="0.2">
      <c r="A29" t="s">
        <v>24</v>
      </c>
      <c r="B29" s="24" t="s">
        <v>9</v>
      </c>
      <c r="C29" s="24">
        <v>115</v>
      </c>
      <c r="D29" s="24">
        <v>44</v>
      </c>
      <c r="E29" s="26">
        <f t="shared" si="0"/>
        <v>0.38260869565217392</v>
      </c>
    </row>
    <row r="30" spans="1:5" x14ac:dyDescent="0.2">
      <c r="A30" t="s">
        <v>24</v>
      </c>
      <c r="B30" s="24" t="s">
        <v>36</v>
      </c>
      <c r="C30" s="24">
        <v>13</v>
      </c>
      <c r="D30" s="24">
        <v>3</v>
      </c>
      <c r="E30" s="26">
        <f t="shared" si="0"/>
        <v>0.23076923076923078</v>
      </c>
    </row>
    <row r="31" spans="1:5" x14ac:dyDescent="0.2">
      <c r="A31" t="s">
        <v>24</v>
      </c>
      <c r="B31" s="24" t="s">
        <v>16</v>
      </c>
      <c r="C31" s="24">
        <v>21</v>
      </c>
      <c r="D31" s="24">
        <v>4</v>
      </c>
      <c r="E31" s="26">
        <f t="shared" si="0"/>
        <v>0.19047619047619047</v>
      </c>
    </row>
    <row r="32" spans="1:5" x14ac:dyDescent="0.2">
      <c r="A32" t="s">
        <v>24</v>
      </c>
      <c r="B32" s="24" t="s">
        <v>12</v>
      </c>
      <c r="C32" s="24">
        <v>10</v>
      </c>
      <c r="D32" s="24">
        <v>2</v>
      </c>
      <c r="E32" s="26">
        <f t="shared" si="0"/>
        <v>0.2</v>
      </c>
    </row>
    <row r="33" spans="1:5" x14ac:dyDescent="0.2">
      <c r="A33" t="s">
        <v>24</v>
      </c>
      <c r="B33" s="24" t="s">
        <v>43</v>
      </c>
      <c r="C33" s="24">
        <v>14</v>
      </c>
      <c r="D33" s="24">
        <v>0</v>
      </c>
      <c r="E33" s="26">
        <f t="shared" si="0"/>
        <v>0</v>
      </c>
    </row>
    <row r="34" spans="1:5" x14ac:dyDescent="0.2">
      <c r="A34" t="s">
        <v>24</v>
      </c>
      <c r="B34" s="24" t="s">
        <v>44</v>
      </c>
      <c r="C34" s="24">
        <v>56</v>
      </c>
      <c r="D34" s="24">
        <v>33</v>
      </c>
      <c r="E34" s="26">
        <f t="shared" si="0"/>
        <v>0.5892857142857143</v>
      </c>
    </row>
    <row r="35" spans="1:5" x14ac:dyDescent="0.2">
      <c r="A35" t="s">
        <v>24</v>
      </c>
      <c r="B35" s="24" t="s">
        <v>45</v>
      </c>
      <c r="C35" s="24">
        <v>78</v>
      </c>
      <c r="D35" s="24">
        <v>52</v>
      </c>
      <c r="E35" s="26">
        <f t="shared" si="0"/>
        <v>0.66666666666666663</v>
      </c>
    </row>
    <row r="36" spans="1:5" x14ac:dyDescent="0.2">
      <c r="A36" t="s">
        <v>24</v>
      </c>
      <c r="B36" s="24" t="s">
        <v>46</v>
      </c>
      <c r="C36" s="24">
        <v>45</v>
      </c>
      <c r="D36" s="24">
        <v>12</v>
      </c>
      <c r="E36" s="26">
        <f t="shared" si="0"/>
        <v>0.26666666666666666</v>
      </c>
    </row>
    <row r="37" spans="1:5" x14ac:dyDescent="0.2">
      <c r="A37" t="s">
        <v>24</v>
      </c>
      <c r="B37" s="24" t="s">
        <v>47</v>
      </c>
      <c r="C37" s="24">
        <v>21</v>
      </c>
      <c r="D37" s="24">
        <v>13</v>
      </c>
      <c r="E37" s="26">
        <f t="shared" si="0"/>
        <v>0.61904761904761907</v>
      </c>
    </row>
    <row r="38" spans="1:5" x14ac:dyDescent="0.2">
      <c r="A38" t="s">
        <v>24</v>
      </c>
      <c r="B38" s="24" t="s">
        <v>48</v>
      </c>
      <c r="C38" s="24">
        <v>25</v>
      </c>
      <c r="D38" s="24">
        <v>7</v>
      </c>
      <c r="E38" s="26">
        <f t="shared" si="0"/>
        <v>0.28000000000000003</v>
      </c>
    </row>
    <row r="39" spans="1:5" s="29" customFormat="1" ht="17" thickBot="1" x14ac:dyDescent="0.25">
      <c r="A39" s="29" t="s">
        <v>24</v>
      </c>
      <c r="B39" s="30" t="s">
        <v>52</v>
      </c>
      <c r="C39" s="30">
        <v>16</v>
      </c>
      <c r="D39" s="30">
        <v>2</v>
      </c>
      <c r="E39" s="31">
        <f t="shared" si="0"/>
        <v>0.125</v>
      </c>
    </row>
    <row r="40" spans="1:5" x14ac:dyDescent="0.2">
      <c r="A40" t="s">
        <v>49</v>
      </c>
      <c r="B40" s="24" t="s">
        <v>1</v>
      </c>
      <c r="C40" s="24">
        <v>54</v>
      </c>
      <c r="D40" s="24">
        <v>11</v>
      </c>
      <c r="E40" s="26">
        <f t="shared" si="0"/>
        <v>0.20370370370370369</v>
      </c>
    </row>
    <row r="41" spans="1:5" x14ac:dyDescent="0.2">
      <c r="A41" t="s">
        <v>49</v>
      </c>
      <c r="B41" s="24" t="s">
        <v>8</v>
      </c>
      <c r="C41" s="24">
        <v>55</v>
      </c>
      <c r="D41" s="24">
        <v>5</v>
      </c>
      <c r="E41" s="26">
        <f t="shared" si="0"/>
        <v>9.0909090909090912E-2</v>
      </c>
    </row>
    <row r="42" spans="1:5" x14ac:dyDescent="0.2">
      <c r="A42" t="s">
        <v>49</v>
      </c>
      <c r="B42" s="24" t="s">
        <v>14</v>
      </c>
      <c r="C42" s="24">
        <v>22</v>
      </c>
      <c r="D42" s="24">
        <v>2</v>
      </c>
      <c r="E42" s="26">
        <f t="shared" si="0"/>
        <v>9.0909090909090912E-2</v>
      </c>
    </row>
    <row r="43" spans="1:5" x14ac:dyDescent="0.2">
      <c r="A43" t="s">
        <v>49</v>
      </c>
      <c r="B43" s="24" t="s">
        <v>32</v>
      </c>
      <c r="C43" s="24">
        <v>23</v>
      </c>
      <c r="D43" s="24">
        <v>2</v>
      </c>
      <c r="E43" s="26">
        <f t="shared" si="0"/>
        <v>8.6956521739130432E-2</v>
      </c>
    </row>
    <row r="44" spans="1:5" x14ac:dyDescent="0.2">
      <c r="A44" t="s">
        <v>49</v>
      </c>
      <c r="B44" s="24" t="s">
        <v>39</v>
      </c>
      <c r="C44" s="24">
        <v>18</v>
      </c>
      <c r="D44" s="24">
        <v>3</v>
      </c>
      <c r="E44" s="26">
        <f t="shared" si="0"/>
        <v>0.16666666666666666</v>
      </c>
    </row>
    <row r="45" spans="1:5" x14ac:dyDescent="0.2">
      <c r="A45" t="s">
        <v>49</v>
      </c>
      <c r="B45" s="24" t="s">
        <v>35</v>
      </c>
      <c r="C45" s="24">
        <v>282</v>
      </c>
      <c r="D45" s="24">
        <v>172</v>
      </c>
      <c r="E45" s="26">
        <f t="shared" si="0"/>
        <v>0.60992907801418439</v>
      </c>
    </row>
    <row r="46" spans="1:5" x14ac:dyDescent="0.2">
      <c r="A46" t="s">
        <v>49</v>
      </c>
      <c r="B46" s="24" t="s">
        <v>31</v>
      </c>
      <c r="C46" s="24">
        <v>136</v>
      </c>
      <c r="D46" s="24">
        <v>79</v>
      </c>
      <c r="E46" s="26">
        <f t="shared" si="0"/>
        <v>0.58088235294117652</v>
      </c>
    </row>
    <row r="47" spans="1:5" x14ac:dyDescent="0.2">
      <c r="A47" t="s">
        <v>49</v>
      </c>
      <c r="B47" s="24" t="s">
        <v>38</v>
      </c>
      <c r="C47" s="24">
        <v>367</v>
      </c>
      <c r="D47" s="24">
        <v>226</v>
      </c>
      <c r="E47" s="26">
        <f t="shared" si="0"/>
        <v>0.61580381471389645</v>
      </c>
    </row>
    <row r="48" spans="1:5" x14ac:dyDescent="0.2">
      <c r="A48" t="s">
        <v>49</v>
      </c>
      <c r="B48" s="24" t="s">
        <v>40</v>
      </c>
      <c r="C48" s="24">
        <v>30</v>
      </c>
      <c r="D48" s="24">
        <v>29</v>
      </c>
      <c r="E48" s="26">
        <f t="shared" si="0"/>
        <v>0.96666666666666667</v>
      </c>
    </row>
    <row r="49" spans="1:5" x14ac:dyDescent="0.2">
      <c r="A49" t="s">
        <v>49</v>
      </c>
      <c r="B49" s="24" t="s">
        <v>9</v>
      </c>
      <c r="C49" s="24">
        <v>422</v>
      </c>
      <c r="D49" s="24">
        <v>222</v>
      </c>
      <c r="E49" s="26">
        <f t="shared" si="0"/>
        <v>0.52606635071090047</v>
      </c>
    </row>
    <row r="50" spans="1:5" x14ac:dyDescent="0.2">
      <c r="A50" t="s">
        <v>49</v>
      </c>
      <c r="B50" s="24" t="s">
        <v>16</v>
      </c>
      <c r="C50" s="24">
        <v>14</v>
      </c>
      <c r="D50" s="24">
        <v>2</v>
      </c>
      <c r="E50" s="26">
        <f t="shared" si="0"/>
        <v>0.14285714285714285</v>
      </c>
    </row>
    <row r="51" spans="1:5" x14ac:dyDescent="0.2">
      <c r="A51" t="s">
        <v>49</v>
      </c>
      <c r="B51" s="24" t="s">
        <v>12</v>
      </c>
      <c r="C51" s="24">
        <v>10</v>
      </c>
      <c r="D51" s="24">
        <v>0</v>
      </c>
      <c r="E51" s="26">
        <f t="shared" si="0"/>
        <v>0</v>
      </c>
    </row>
    <row r="52" spans="1:5" x14ac:dyDescent="0.2">
      <c r="A52" t="s">
        <v>49</v>
      </c>
      <c r="B52" s="24" t="s">
        <v>15</v>
      </c>
      <c r="C52" s="24">
        <v>15</v>
      </c>
      <c r="D52" s="24">
        <v>5</v>
      </c>
      <c r="E52" s="26">
        <f t="shared" si="0"/>
        <v>0.33333333333333331</v>
      </c>
    </row>
    <row r="53" spans="1:5" x14ac:dyDescent="0.2">
      <c r="A53" t="s">
        <v>49</v>
      </c>
      <c r="B53" s="24" t="s">
        <v>37</v>
      </c>
      <c r="C53" s="24">
        <v>44</v>
      </c>
      <c r="D53" s="24">
        <v>11</v>
      </c>
      <c r="E53" s="26">
        <f t="shared" si="0"/>
        <v>0.25</v>
      </c>
    </row>
    <row r="54" spans="1:5" x14ac:dyDescent="0.2">
      <c r="A54" t="s">
        <v>49</v>
      </c>
      <c r="B54" s="24" t="s">
        <v>42</v>
      </c>
      <c r="C54" s="24">
        <v>11</v>
      </c>
      <c r="D54" s="24">
        <v>0</v>
      </c>
      <c r="E54" s="26">
        <f t="shared" si="0"/>
        <v>0</v>
      </c>
    </row>
    <row r="55" spans="1:5" x14ac:dyDescent="0.2">
      <c r="A55" t="s">
        <v>49</v>
      </c>
      <c r="B55" s="24" t="s">
        <v>13</v>
      </c>
      <c r="C55" s="24">
        <v>34</v>
      </c>
      <c r="D55" s="24">
        <v>5</v>
      </c>
      <c r="E55" s="26">
        <f t="shared" si="0"/>
        <v>0.14705882352941177</v>
      </c>
    </row>
    <row r="56" spans="1:5" x14ac:dyDescent="0.2">
      <c r="A56" t="s">
        <v>49</v>
      </c>
      <c r="B56" s="24" t="s">
        <v>10</v>
      </c>
      <c r="C56" s="24">
        <v>28</v>
      </c>
      <c r="D56" s="24">
        <v>7</v>
      </c>
      <c r="E56" s="26">
        <f t="shared" si="0"/>
        <v>0.25</v>
      </c>
    </row>
    <row r="57" spans="1:5" x14ac:dyDescent="0.2">
      <c r="A57" t="s">
        <v>49</v>
      </c>
      <c r="B57" s="24" t="s">
        <v>30</v>
      </c>
      <c r="C57" s="24">
        <v>18</v>
      </c>
      <c r="D57" s="24">
        <v>3</v>
      </c>
      <c r="E57" s="26">
        <f t="shared" si="0"/>
        <v>0.16666666666666666</v>
      </c>
    </row>
    <row r="58" spans="1:5" s="29" customFormat="1" ht="17" thickBot="1" x14ac:dyDescent="0.25">
      <c r="A58" s="29" t="s">
        <v>49</v>
      </c>
      <c r="B58" s="30" t="s">
        <v>45</v>
      </c>
      <c r="C58" s="30">
        <v>10</v>
      </c>
      <c r="D58" s="30">
        <v>2</v>
      </c>
      <c r="E58" s="31">
        <f t="shared" si="0"/>
        <v>0.2</v>
      </c>
    </row>
    <row r="59" spans="1:5" x14ac:dyDescent="0.2">
      <c r="A59" t="s">
        <v>50</v>
      </c>
      <c r="B59" s="24" t="s">
        <v>1</v>
      </c>
      <c r="C59" s="24">
        <v>75</v>
      </c>
      <c r="D59" s="24">
        <v>17</v>
      </c>
      <c r="E59" s="26">
        <f t="shared" si="0"/>
        <v>0.22666666666666666</v>
      </c>
    </row>
    <row r="60" spans="1:5" x14ac:dyDescent="0.2">
      <c r="A60" t="s">
        <v>50</v>
      </c>
      <c r="B60" s="24" t="s">
        <v>14</v>
      </c>
      <c r="C60" s="24">
        <v>37</v>
      </c>
      <c r="D60" s="24">
        <v>5</v>
      </c>
      <c r="E60" s="26">
        <f t="shared" si="0"/>
        <v>0.13513513513513514</v>
      </c>
    </row>
    <row r="61" spans="1:5" x14ac:dyDescent="0.2">
      <c r="A61" t="s">
        <v>50</v>
      </c>
      <c r="B61" s="24" t="s">
        <v>51</v>
      </c>
      <c r="C61" s="24">
        <v>39</v>
      </c>
      <c r="D61" s="24">
        <v>12</v>
      </c>
      <c r="E61" s="26">
        <f t="shared" si="0"/>
        <v>0.30769230769230771</v>
      </c>
    </row>
    <row r="62" spans="1:5" x14ac:dyDescent="0.2">
      <c r="A62" t="s">
        <v>50</v>
      </c>
      <c r="B62" s="24" t="s">
        <v>41</v>
      </c>
      <c r="C62" s="24">
        <v>27</v>
      </c>
      <c r="D62" s="24">
        <v>0</v>
      </c>
      <c r="E62" s="26">
        <f t="shared" si="0"/>
        <v>0</v>
      </c>
    </row>
    <row r="63" spans="1:5" x14ac:dyDescent="0.2">
      <c r="A63" t="s">
        <v>50</v>
      </c>
      <c r="B63" s="24" t="s">
        <v>15</v>
      </c>
      <c r="C63" s="24">
        <v>499</v>
      </c>
      <c r="D63" s="24">
        <v>212</v>
      </c>
      <c r="E63" s="26">
        <f t="shared" ref="E63:E126" si="1">D63/C63</f>
        <v>0.42484969939879758</v>
      </c>
    </row>
    <row r="64" spans="1:5" x14ac:dyDescent="0.2">
      <c r="A64" t="s">
        <v>50</v>
      </c>
      <c r="B64" s="24" t="s">
        <v>9</v>
      </c>
      <c r="C64" s="24">
        <v>367</v>
      </c>
      <c r="D64" s="24">
        <v>173</v>
      </c>
      <c r="E64" s="26">
        <f t="shared" si="1"/>
        <v>0.47138964577656678</v>
      </c>
    </row>
    <row r="65" spans="1:5" x14ac:dyDescent="0.2">
      <c r="A65" t="s">
        <v>50</v>
      </c>
      <c r="B65" s="24" t="s">
        <v>37</v>
      </c>
      <c r="C65" s="24">
        <v>20</v>
      </c>
      <c r="D65" s="24">
        <v>4</v>
      </c>
      <c r="E65" s="26">
        <f t="shared" si="1"/>
        <v>0.2</v>
      </c>
    </row>
    <row r="66" spans="1:5" x14ac:dyDescent="0.2">
      <c r="A66" t="s">
        <v>50</v>
      </c>
      <c r="B66" s="24" t="s">
        <v>52</v>
      </c>
      <c r="C66" s="24">
        <v>7</v>
      </c>
      <c r="D66" s="24">
        <v>2</v>
      </c>
      <c r="E66" s="26">
        <f t="shared" si="1"/>
        <v>0.2857142857142857</v>
      </c>
    </row>
    <row r="67" spans="1:5" s="29" customFormat="1" ht="17" thickBot="1" x14ac:dyDescent="0.25">
      <c r="A67" s="29" t="s">
        <v>50</v>
      </c>
      <c r="B67" s="30" t="s">
        <v>45</v>
      </c>
      <c r="C67" s="30">
        <v>13</v>
      </c>
      <c r="D67" s="30">
        <v>0</v>
      </c>
      <c r="E67" s="31">
        <f t="shared" si="1"/>
        <v>0</v>
      </c>
    </row>
    <row r="68" spans="1:5" x14ac:dyDescent="0.2">
      <c r="A68" t="s">
        <v>53</v>
      </c>
      <c r="B68" s="24" t="s">
        <v>32</v>
      </c>
      <c r="C68" s="24">
        <v>19</v>
      </c>
      <c r="D68" s="24">
        <v>6</v>
      </c>
      <c r="E68" s="26">
        <f t="shared" si="1"/>
        <v>0.31578947368421051</v>
      </c>
    </row>
    <row r="69" spans="1:5" x14ac:dyDescent="0.2">
      <c r="A69" t="s">
        <v>53</v>
      </c>
      <c r="B69" s="24" t="s">
        <v>51</v>
      </c>
      <c r="C69" s="24">
        <v>24</v>
      </c>
      <c r="D69" s="24">
        <v>6</v>
      </c>
      <c r="E69" s="26">
        <f t="shared" si="1"/>
        <v>0.25</v>
      </c>
    </row>
    <row r="70" spans="1:5" x14ac:dyDescent="0.2">
      <c r="A70" t="s">
        <v>53</v>
      </c>
      <c r="B70" s="24" t="s">
        <v>39</v>
      </c>
      <c r="C70" s="24">
        <v>32</v>
      </c>
      <c r="D70" s="24">
        <v>1</v>
      </c>
      <c r="E70" s="26">
        <f t="shared" si="1"/>
        <v>3.125E-2</v>
      </c>
    </row>
    <row r="71" spans="1:5" x14ac:dyDescent="0.2">
      <c r="A71" t="s">
        <v>53</v>
      </c>
      <c r="B71" s="24" t="s">
        <v>38</v>
      </c>
      <c r="C71" s="24">
        <v>24</v>
      </c>
      <c r="D71" s="24">
        <v>7</v>
      </c>
      <c r="E71" s="26">
        <f t="shared" si="1"/>
        <v>0.29166666666666669</v>
      </c>
    </row>
    <row r="72" spans="1:5" x14ac:dyDescent="0.2">
      <c r="A72" t="s">
        <v>53</v>
      </c>
      <c r="B72" s="24" t="s">
        <v>40</v>
      </c>
      <c r="C72" s="24">
        <v>567</v>
      </c>
      <c r="D72" s="24">
        <v>486</v>
      </c>
      <c r="E72" s="26">
        <f t="shared" si="1"/>
        <v>0.8571428571428571</v>
      </c>
    </row>
    <row r="73" spans="1:5" s="29" customFormat="1" ht="17" thickBot="1" x14ac:dyDescent="0.25">
      <c r="A73" s="29" t="s">
        <v>53</v>
      </c>
      <c r="B73" s="30" t="s">
        <v>36</v>
      </c>
      <c r="C73" s="30">
        <v>16</v>
      </c>
      <c r="D73" s="30">
        <v>1</v>
      </c>
      <c r="E73" s="31">
        <f t="shared" si="1"/>
        <v>6.25E-2</v>
      </c>
    </row>
    <row r="74" spans="1:5" x14ac:dyDescent="0.2">
      <c r="A74" t="s">
        <v>23</v>
      </c>
      <c r="B74" s="24" t="s">
        <v>1</v>
      </c>
      <c r="C74" s="24">
        <v>259</v>
      </c>
      <c r="D74" s="24">
        <v>87</v>
      </c>
      <c r="E74" s="26">
        <f t="shared" si="1"/>
        <v>0.3359073359073359</v>
      </c>
    </row>
    <row r="75" spans="1:5" x14ac:dyDescent="0.2">
      <c r="A75" t="s">
        <v>23</v>
      </c>
      <c r="B75" s="24" t="s">
        <v>8</v>
      </c>
      <c r="C75" s="24">
        <v>128</v>
      </c>
      <c r="D75" s="24">
        <v>19</v>
      </c>
      <c r="E75" s="26">
        <f t="shared" si="1"/>
        <v>0.1484375</v>
      </c>
    </row>
    <row r="76" spans="1:5" x14ac:dyDescent="0.2">
      <c r="A76" t="s">
        <v>23</v>
      </c>
      <c r="B76" s="24" t="s">
        <v>32</v>
      </c>
      <c r="C76" s="24">
        <v>101</v>
      </c>
      <c r="D76" s="24">
        <v>25</v>
      </c>
      <c r="E76" s="26">
        <f t="shared" si="1"/>
        <v>0.24752475247524752</v>
      </c>
    </row>
    <row r="77" spans="1:5" x14ac:dyDescent="0.2">
      <c r="A77" t="s">
        <v>23</v>
      </c>
      <c r="B77" s="24" t="s">
        <v>14</v>
      </c>
      <c r="C77" s="24">
        <v>27</v>
      </c>
      <c r="D77" s="24">
        <v>3</v>
      </c>
      <c r="E77" s="26">
        <f t="shared" si="1"/>
        <v>0.1111111111111111</v>
      </c>
    </row>
    <row r="78" spans="1:5" x14ac:dyDescent="0.2">
      <c r="A78" t="s">
        <v>23</v>
      </c>
      <c r="B78" s="24" t="s">
        <v>51</v>
      </c>
      <c r="C78" s="24">
        <v>64</v>
      </c>
      <c r="D78" s="24">
        <v>23</v>
      </c>
      <c r="E78" s="26">
        <f t="shared" si="1"/>
        <v>0.359375</v>
      </c>
    </row>
    <row r="79" spans="1:5" x14ac:dyDescent="0.2">
      <c r="A79" t="s">
        <v>23</v>
      </c>
      <c r="B79" s="24" t="s">
        <v>41</v>
      </c>
      <c r="C79" s="24">
        <v>321</v>
      </c>
      <c r="D79" s="24">
        <v>202</v>
      </c>
      <c r="E79" s="26">
        <f t="shared" si="1"/>
        <v>0.62928348909657317</v>
      </c>
    </row>
    <row r="80" spans="1:5" x14ac:dyDescent="0.2">
      <c r="A80" t="s">
        <v>23</v>
      </c>
      <c r="B80" s="24" t="s">
        <v>39</v>
      </c>
      <c r="C80" s="24">
        <v>140</v>
      </c>
      <c r="D80" s="24">
        <v>23</v>
      </c>
      <c r="E80" s="26">
        <f t="shared" si="1"/>
        <v>0.16428571428571428</v>
      </c>
    </row>
    <row r="81" spans="1:5" x14ac:dyDescent="0.2">
      <c r="A81" t="s">
        <v>23</v>
      </c>
      <c r="B81" s="24" t="s">
        <v>13</v>
      </c>
      <c r="C81" s="24">
        <v>572</v>
      </c>
      <c r="D81" s="24">
        <v>282</v>
      </c>
      <c r="E81" s="26">
        <f t="shared" si="1"/>
        <v>0.49300699300699302</v>
      </c>
    </row>
    <row r="82" spans="1:5" x14ac:dyDescent="0.2">
      <c r="A82" t="s">
        <v>23</v>
      </c>
      <c r="B82" s="24" t="s">
        <v>37</v>
      </c>
      <c r="C82" s="24">
        <v>96</v>
      </c>
      <c r="D82" s="24">
        <v>38</v>
      </c>
      <c r="E82" s="26">
        <f t="shared" si="1"/>
        <v>0.39583333333333331</v>
      </c>
    </row>
    <row r="83" spans="1:5" x14ac:dyDescent="0.2">
      <c r="A83" t="s">
        <v>23</v>
      </c>
      <c r="B83" s="24" t="s">
        <v>43</v>
      </c>
      <c r="C83" s="24">
        <v>47</v>
      </c>
      <c r="D83" s="24">
        <v>27</v>
      </c>
      <c r="E83" s="26">
        <f t="shared" si="1"/>
        <v>0.57446808510638303</v>
      </c>
    </row>
    <row r="84" spans="1:5" x14ac:dyDescent="0.2">
      <c r="A84" t="s">
        <v>23</v>
      </c>
      <c r="B84" s="24" t="s">
        <v>54</v>
      </c>
      <c r="C84" s="24">
        <v>230</v>
      </c>
      <c r="D84" s="24">
        <v>196</v>
      </c>
      <c r="E84" s="26">
        <f t="shared" si="1"/>
        <v>0.85217391304347823</v>
      </c>
    </row>
    <row r="85" spans="1:5" s="29" customFormat="1" ht="17" thickBot="1" x14ac:dyDescent="0.25">
      <c r="A85" s="29" t="s">
        <v>23</v>
      </c>
      <c r="B85" s="30" t="s">
        <v>11</v>
      </c>
      <c r="C85" s="30">
        <v>10</v>
      </c>
      <c r="D85" s="30">
        <v>4</v>
      </c>
      <c r="E85" s="31">
        <f t="shared" si="1"/>
        <v>0.4</v>
      </c>
    </row>
    <row r="86" spans="1:5" x14ac:dyDescent="0.2">
      <c r="A86" t="s">
        <v>55</v>
      </c>
      <c r="B86" s="24" t="s">
        <v>1</v>
      </c>
      <c r="C86" s="24">
        <v>45</v>
      </c>
      <c r="D86" s="24">
        <v>6</v>
      </c>
      <c r="E86" s="26">
        <f t="shared" si="1"/>
        <v>0.13333333333333333</v>
      </c>
    </row>
    <row r="87" spans="1:5" x14ac:dyDescent="0.2">
      <c r="A87" t="s">
        <v>55</v>
      </c>
      <c r="B87" s="24" t="s">
        <v>8</v>
      </c>
      <c r="C87" s="24">
        <v>75</v>
      </c>
      <c r="D87" s="24">
        <v>4</v>
      </c>
      <c r="E87" s="26">
        <f t="shared" si="1"/>
        <v>5.3333333333333337E-2</v>
      </c>
    </row>
    <row r="88" spans="1:5" x14ac:dyDescent="0.2">
      <c r="A88" t="s">
        <v>55</v>
      </c>
      <c r="B88" s="24" t="s">
        <v>14</v>
      </c>
      <c r="C88" s="24">
        <v>27</v>
      </c>
      <c r="D88" s="24">
        <v>2</v>
      </c>
      <c r="E88" s="26">
        <f t="shared" si="1"/>
        <v>7.407407407407407E-2</v>
      </c>
    </row>
    <row r="89" spans="1:5" x14ac:dyDescent="0.2">
      <c r="A89" t="s">
        <v>55</v>
      </c>
      <c r="B89" s="24" t="s">
        <v>32</v>
      </c>
      <c r="C89" s="24">
        <v>79</v>
      </c>
      <c r="D89" s="24">
        <v>4</v>
      </c>
      <c r="E89" s="26">
        <f t="shared" si="1"/>
        <v>5.0632911392405063E-2</v>
      </c>
    </row>
    <row r="90" spans="1:5" x14ac:dyDescent="0.2">
      <c r="A90" t="s">
        <v>55</v>
      </c>
      <c r="B90" s="24" t="s">
        <v>51</v>
      </c>
      <c r="C90" s="24">
        <v>35</v>
      </c>
      <c r="D90" s="24">
        <v>13</v>
      </c>
      <c r="E90" s="26">
        <f t="shared" si="1"/>
        <v>0.37142857142857144</v>
      </c>
    </row>
    <row r="91" spans="1:5" x14ac:dyDescent="0.2">
      <c r="A91" t="s">
        <v>55</v>
      </c>
      <c r="B91" s="24" t="s">
        <v>41</v>
      </c>
      <c r="C91" s="24">
        <v>591</v>
      </c>
      <c r="D91" s="24">
        <v>391</v>
      </c>
      <c r="E91" s="26">
        <f t="shared" si="1"/>
        <v>0.66159052453468692</v>
      </c>
    </row>
    <row r="92" spans="1:5" x14ac:dyDescent="0.2">
      <c r="A92" t="s">
        <v>55</v>
      </c>
      <c r="B92" s="24" t="s">
        <v>39</v>
      </c>
      <c r="C92" s="24">
        <v>521</v>
      </c>
      <c r="D92" s="24">
        <v>144</v>
      </c>
      <c r="E92" s="26">
        <f t="shared" si="1"/>
        <v>0.27639155470249521</v>
      </c>
    </row>
    <row r="93" spans="1:5" x14ac:dyDescent="0.2">
      <c r="A93" t="s">
        <v>55</v>
      </c>
      <c r="B93" s="24" t="s">
        <v>40</v>
      </c>
      <c r="C93" s="24">
        <v>100</v>
      </c>
      <c r="D93" s="24">
        <v>64</v>
      </c>
      <c r="E93" s="26">
        <f t="shared" si="1"/>
        <v>0.64</v>
      </c>
    </row>
    <row r="94" spans="1:5" x14ac:dyDescent="0.2">
      <c r="A94" t="s">
        <v>55</v>
      </c>
      <c r="B94" s="24" t="s">
        <v>15</v>
      </c>
      <c r="C94" s="24">
        <v>19</v>
      </c>
      <c r="D94" s="24">
        <v>2</v>
      </c>
      <c r="E94" s="26">
        <f t="shared" si="1"/>
        <v>0.10526315789473684</v>
      </c>
    </row>
    <row r="95" spans="1:5" x14ac:dyDescent="0.2">
      <c r="A95" t="s">
        <v>55</v>
      </c>
      <c r="B95" s="24" t="s">
        <v>16</v>
      </c>
      <c r="C95" s="24">
        <v>12</v>
      </c>
      <c r="D95" s="24">
        <v>1</v>
      </c>
      <c r="E95" s="26">
        <f t="shared" si="1"/>
        <v>8.3333333333333329E-2</v>
      </c>
    </row>
    <row r="96" spans="1:5" s="29" customFormat="1" ht="17" thickBot="1" x14ac:dyDescent="0.25">
      <c r="A96" s="29" t="s">
        <v>55</v>
      </c>
      <c r="B96" s="30" t="s">
        <v>13</v>
      </c>
      <c r="C96" s="30">
        <v>45</v>
      </c>
      <c r="D96" s="30">
        <v>6</v>
      </c>
      <c r="E96" s="31">
        <f t="shared" si="1"/>
        <v>0.13333333333333333</v>
      </c>
    </row>
    <row r="97" spans="1:5" x14ac:dyDescent="0.2">
      <c r="A97" t="s">
        <v>25</v>
      </c>
      <c r="B97" s="24" t="s">
        <v>1</v>
      </c>
      <c r="C97" s="24">
        <v>1142</v>
      </c>
      <c r="D97" s="24">
        <v>320</v>
      </c>
      <c r="E97" s="26">
        <f t="shared" si="1"/>
        <v>0.28021015761821366</v>
      </c>
    </row>
    <row r="98" spans="1:5" x14ac:dyDescent="0.2">
      <c r="A98" t="s">
        <v>25</v>
      </c>
      <c r="B98" s="24" t="s">
        <v>8</v>
      </c>
      <c r="C98" s="24">
        <v>1255</v>
      </c>
      <c r="D98" s="24">
        <v>300</v>
      </c>
      <c r="E98" s="26">
        <f t="shared" si="1"/>
        <v>0.23904382470119523</v>
      </c>
    </row>
    <row r="99" spans="1:5" x14ac:dyDescent="0.2">
      <c r="A99" t="s">
        <v>25</v>
      </c>
      <c r="B99" s="24" t="s">
        <v>14</v>
      </c>
      <c r="C99" s="24">
        <v>37</v>
      </c>
      <c r="D99" s="24">
        <v>1</v>
      </c>
      <c r="E99" s="26">
        <f t="shared" si="1"/>
        <v>2.7027027027027029E-2</v>
      </c>
    </row>
    <row r="100" spans="1:5" x14ac:dyDescent="0.2">
      <c r="A100" t="s">
        <v>25</v>
      </c>
      <c r="B100" s="24" t="s">
        <v>32</v>
      </c>
      <c r="C100" s="24">
        <v>143</v>
      </c>
      <c r="D100" s="24">
        <v>9</v>
      </c>
      <c r="E100" s="26">
        <f t="shared" si="1"/>
        <v>6.2937062937062943E-2</v>
      </c>
    </row>
    <row r="101" spans="1:5" x14ac:dyDescent="0.2">
      <c r="A101" t="s">
        <v>25</v>
      </c>
      <c r="B101" s="24" t="s">
        <v>51</v>
      </c>
      <c r="C101" s="24">
        <v>23</v>
      </c>
      <c r="D101" s="24">
        <v>6</v>
      </c>
      <c r="E101" s="26">
        <f t="shared" si="1"/>
        <v>0.2608695652173913</v>
      </c>
    </row>
    <row r="102" spans="1:5" x14ac:dyDescent="0.2">
      <c r="A102" t="s">
        <v>25</v>
      </c>
      <c r="B102" s="24" t="s">
        <v>39</v>
      </c>
      <c r="C102" s="24">
        <v>21</v>
      </c>
      <c r="D102" s="24">
        <v>1</v>
      </c>
      <c r="E102" s="26">
        <f t="shared" si="1"/>
        <v>4.7619047619047616E-2</v>
      </c>
    </row>
    <row r="103" spans="1:5" x14ac:dyDescent="0.2">
      <c r="A103" t="s">
        <v>25</v>
      </c>
      <c r="B103" s="24" t="s">
        <v>30</v>
      </c>
      <c r="C103" s="24">
        <v>261</v>
      </c>
      <c r="D103" s="24">
        <v>70</v>
      </c>
      <c r="E103" s="26">
        <f t="shared" si="1"/>
        <v>0.26819923371647508</v>
      </c>
    </row>
    <row r="104" spans="1:5" x14ac:dyDescent="0.2">
      <c r="A104" t="s">
        <v>25</v>
      </c>
      <c r="B104" s="24" t="s">
        <v>29</v>
      </c>
      <c r="C104" s="24">
        <v>125</v>
      </c>
      <c r="D104" s="24">
        <v>29</v>
      </c>
      <c r="E104" s="26">
        <f t="shared" si="1"/>
        <v>0.23200000000000001</v>
      </c>
    </row>
    <row r="105" spans="1:5" x14ac:dyDescent="0.2">
      <c r="A105" t="s">
        <v>25</v>
      </c>
      <c r="B105" s="24" t="s">
        <v>9</v>
      </c>
      <c r="C105" s="24">
        <v>101</v>
      </c>
      <c r="D105" s="24">
        <v>32</v>
      </c>
      <c r="E105" s="26">
        <f t="shared" si="1"/>
        <v>0.31683168316831684</v>
      </c>
    </row>
    <row r="106" spans="1:5" x14ac:dyDescent="0.2">
      <c r="A106" t="s">
        <v>25</v>
      </c>
      <c r="B106" s="24" t="s">
        <v>36</v>
      </c>
      <c r="C106" s="24">
        <v>24</v>
      </c>
      <c r="D106" s="24">
        <v>9</v>
      </c>
      <c r="E106" s="26">
        <f t="shared" si="1"/>
        <v>0.375</v>
      </c>
    </row>
    <row r="107" spans="1:5" x14ac:dyDescent="0.2">
      <c r="A107" t="s">
        <v>25</v>
      </c>
      <c r="B107" s="24" t="s">
        <v>12</v>
      </c>
      <c r="C107" s="24">
        <v>74</v>
      </c>
      <c r="D107" s="24">
        <v>26</v>
      </c>
      <c r="E107" s="26">
        <f t="shared" si="1"/>
        <v>0.35135135135135137</v>
      </c>
    </row>
    <row r="108" spans="1:5" x14ac:dyDescent="0.2">
      <c r="A108" t="s">
        <v>25</v>
      </c>
      <c r="B108" s="24" t="s">
        <v>11</v>
      </c>
      <c r="C108" s="24">
        <v>11</v>
      </c>
      <c r="D108" s="24">
        <v>3</v>
      </c>
      <c r="E108" s="26">
        <f t="shared" si="1"/>
        <v>0.27272727272727271</v>
      </c>
    </row>
    <row r="109" spans="1:5" x14ac:dyDescent="0.2">
      <c r="A109" t="s">
        <v>25</v>
      </c>
      <c r="B109" s="24" t="s">
        <v>56</v>
      </c>
      <c r="C109" s="24">
        <v>28</v>
      </c>
      <c r="D109" s="24">
        <v>11</v>
      </c>
      <c r="E109" s="26">
        <f t="shared" si="1"/>
        <v>0.39285714285714285</v>
      </c>
    </row>
    <row r="110" spans="1:5" x14ac:dyDescent="0.2">
      <c r="A110" t="s">
        <v>25</v>
      </c>
      <c r="B110" s="24" t="s">
        <v>13</v>
      </c>
      <c r="C110" s="24">
        <v>118</v>
      </c>
      <c r="D110" s="24">
        <v>18</v>
      </c>
      <c r="E110" s="26">
        <f t="shared" si="1"/>
        <v>0.15254237288135594</v>
      </c>
    </row>
    <row r="111" spans="1:5" x14ac:dyDescent="0.2">
      <c r="A111" t="s">
        <v>25</v>
      </c>
      <c r="B111" s="24" t="s">
        <v>57</v>
      </c>
      <c r="C111" s="24">
        <v>18</v>
      </c>
      <c r="D111" s="24">
        <v>3</v>
      </c>
      <c r="E111" s="26">
        <f t="shared" si="1"/>
        <v>0.16666666666666666</v>
      </c>
    </row>
    <row r="112" spans="1:5" x14ac:dyDescent="0.2">
      <c r="A112" t="s">
        <v>25</v>
      </c>
      <c r="B112" s="24" t="s">
        <v>37</v>
      </c>
      <c r="C112" s="24">
        <v>195</v>
      </c>
      <c r="D112" s="24">
        <v>48</v>
      </c>
      <c r="E112" s="26">
        <f t="shared" si="1"/>
        <v>0.24615384615384617</v>
      </c>
    </row>
    <row r="113" spans="1:5" x14ac:dyDescent="0.2">
      <c r="A113" t="s">
        <v>25</v>
      </c>
      <c r="B113" s="24" t="s">
        <v>42</v>
      </c>
      <c r="C113" s="24">
        <v>195</v>
      </c>
      <c r="D113" s="24">
        <v>48</v>
      </c>
      <c r="E113" s="26">
        <f t="shared" si="1"/>
        <v>0.24615384615384617</v>
      </c>
    </row>
    <row r="114" spans="1:5" x14ac:dyDescent="0.2">
      <c r="A114" t="s">
        <v>25</v>
      </c>
      <c r="B114" s="24" t="s">
        <v>16</v>
      </c>
      <c r="C114" s="24">
        <v>42</v>
      </c>
      <c r="D114" s="24">
        <v>0</v>
      </c>
      <c r="E114" s="26">
        <f t="shared" si="1"/>
        <v>0</v>
      </c>
    </row>
    <row r="115" spans="1:5" s="29" customFormat="1" ht="17" thickBot="1" x14ac:dyDescent="0.25">
      <c r="A115" s="29" t="s">
        <v>25</v>
      </c>
      <c r="B115" s="30" t="s">
        <v>47</v>
      </c>
      <c r="C115" s="30">
        <v>5</v>
      </c>
      <c r="D115" s="30">
        <v>3</v>
      </c>
      <c r="E115" s="31">
        <f t="shared" si="1"/>
        <v>0.6</v>
      </c>
    </row>
    <row r="116" spans="1:5" x14ac:dyDescent="0.2">
      <c r="A116" t="s">
        <v>58</v>
      </c>
      <c r="B116" s="24" t="s">
        <v>1</v>
      </c>
      <c r="C116" s="24">
        <v>49</v>
      </c>
      <c r="D116" s="24">
        <v>6</v>
      </c>
      <c r="E116" s="26">
        <f t="shared" si="1"/>
        <v>0.12244897959183673</v>
      </c>
    </row>
    <row r="117" spans="1:5" x14ac:dyDescent="0.2">
      <c r="A117" t="s">
        <v>58</v>
      </c>
      <c r="B117" s="24" t="s">
        <v>8</v>
      </c>
      <c r="C117" s="24">
        <v>77</v>
      </c>
      <c r="D117" s="24">
        <v>10</v>
      </c>
      <c r="E117" s="26">
        <f t="shared" si="1"/>
        <v>0.12987012987012986</v>
      </c>
    </row>
    <row r="118" spans="1:5" x14ac:dyDescent="0.2">
      <c r="A118" t="s">
        <v>58</v>
      </c>
      <c r="B118" s="24" t="s">
        <v>14</v>
      </c>
      <c r="C118" s="24">
        <v>39</v>
      </c>
      <c r="D118" s="24">
        <v>1</v>
      </c>
      <c r="E118" s="26">
        <f t="shared" si="1"/>
        <v>2.564102564102564E-2</v>
      </c>
    </row>
    <row r="119" spans="1:5" x14ac:dyDescent="0.2">
      <c r="A119" t="s">
        <v>58</v>
      </c>
      <c r="B119" s="24" t="s">
        <v>32</v>
      </c>
      <c r="C119" s="24">
        <v>43</v>
      </c>
      <c r="D119" s="24">
        <v>0</v>
      </c>
      <c r="E119" s="26">
        <f t="shared" si="1"/>
        <v>0</v>
      </c>
    </row>
    <row r="120" spans="1:5" x14ac:dyDescent="0.2">
      <c r="A120" t="s">
        <v>58</v>
      </c>
      <c r="B120" s="24" t="s">
        <v>39</v>
      </c>
      <c r="C120" s="24">
        <v>299</v>
      </c>
      <c r="D120" s="24">
        <v>81</v>
      </c>
      <c r="E120" s="26">
        <f t="shared" si="1"/>
        <v>0.2709030100334448</v>
      </c>
    </row>
    <row r="121" spans="1:5" s="29" customFormat="1" ht="17" thickBot="1" x14ac:dyDescent="0.25">
      <c r="A121" s="29" t="s">
        <v>58</v>
      </c>
      <c r="B121" s="30" t="s">
        <v>41</v>
      </c>
      <c r="C121" s="30">
        <v>122</v>
      </c>
      <c r="D121" s="30">
        <v>31</v>
      </c>
      <c r="E121" s="31">
        <f t="shared" si="1"/>
        <v>0.25409836065573771</v>
      </c>
    </row>
    <row r="122" spans="1:5" x14ac:dyDescent="0.2">
      <c r="A122" t="s">
        <v>20</v>
      </c>
      <c r="B122" s="24" t="s">
        <v>1</v>
      </c>
      <c r="C122" s="24">
        <v>43</v>
      </c>
      <c r="D122" s="24">
        <v>8</v>
      </c>
      <c r="E122" s="26">
        <f t="shared" si="1"/>
        <v>0.18604651162790697</v>
      </c>
    </row>
    <row r="123" spans="1:5" x14ac:dyDescent="0.2">
      <c r="A123" t="s">
        <v>20</v>
      </c>
      <c r="B123" s="24" t="s">
        <v>14</v>
      </c>
      <c r="C123" s="24">
        <v>147</v>
      </c>
      <c r="D123" s="24">
        <v>31</v>
      </c>
      <c r="E123" s="26">
        <f t="shared" si="1"/>
        <v>0.21088435374149661</v>
      </c>
    </row>
    <row r="124" spans="1:5" x14ac:dyDescent="0.2">
      <c r="A124" t="s">
        <v>20</v>
      </c>
      <c r="B124" s="24" t="s">
        <v>32</v>
      </c>
      <c r="C124" s="24">
        <v>69</v>
      </c>
      <c r="D124" s="24">
        <v>7</v>
      </c>
      <c r="E124" s="26">
        <f t="shared" si="1"/>
        <v>0.10144927536231885</v>
      </c>
    </row>
    <row r="125" spans="1:5" x14ac:dyDescent="0.2">
      <c r="A125" t="s">
        <v>20</v>
      </c>
      <c r="B125" s="24" t="s">
        <v>8</v>
      </c>
      <c r="C125" s="24">
        <v>80</v>
      </c>
      <c r="D125" s="24">
        <v>6</v>
      </c>
      <c r="E125" s="26">
        <f t="shared" si="1"/>
        <v>7.4999999999999997E-2</v>
      </c>
    </row>
    <row r="126" spans="1:5" x14ac:dyDescent="0.2">
      <c r="A126" t="s">
        <v>20</v>
      </c>
      <c r="B126" s="24" t="s">
        <v>51</v>
      </c>
      <c r="C126" s="24">
        <v>14</v>
      </c>
      <c r="D126" s="24">
        <v>1</v>
      </c>
      <c r="E126" s="26">
        <f t="shared" si="1"/>
        <v>7.1428571428571425E-2</v>
      </c>
    </row>
    <row r="127" spans="1:5" x14ac:dyDescent="0.2">
      <c r="A127" t="s">
        <v>20</v>
      </c>
      <c r="B127" s="24" t="s">
        <v>41</v>
      </c>
      <c r="C127" s="24">
        <v>17</v>
      </c>
      <c r="D127" s="24">
        <v>2</v>
      </c>
      <c r="E127" s="26">
        <f t="shared" ref="E127:E190" si="2">D127/C127</f>
        <v>0.11764705882352941</v>
      </c>
    </row>
    <row r="128" spans="1:5" x14ac:dyDescent="0.2">
      <c r="A128" t="s">
        <v>20</v>
      </c>
      <c r="B128" s="24" t="s">
        <v>30</v>
      </c>
      <c r="C128" s="24">
        <v>31</v>
      </c>
      <c r="D128" s="24">
        <v>6</v>
      </c>
      <c r="E128" s="26">
        <f t="shared" si="2"/>
        <v>0.19354838709677419</v>
      </c>
    </row>
    <row r="129" spans="1:5" x14ac:dyDescent="0.2">
      <c r="A129" t="s">
        <v>20</v>
      </c>
      <c r="B129" s="24" t="s">
        <v>16</v>
      </c>
      <c r="C129" s="24">
        <v>25</v>
      </c>
      <c r="D129" s="24">
        <v>7</v>
      </c>
      <c r="E129" s="26">
        <f t="shared" si="2"/>
        <v>0.28000000000000003</v>
      </c>
    </row>
    <row r="130" spans="1:5" x14ac:dyDescent="0.2">
      <c r="A130" t="s">
        <v>20</v>
      </c>
      <c r="B130" s="24" t="s">
        <v>37</v>
      </c>
      <c r="C130" s="24">
        <v>13</v>
      </c>
      <c r="D130" s="24">
        <v>2</v>
      </c>
      <c r="E130" s="26">
        <f t="shared" si="2"/>
        <v>0.15384615384615385</v>
      </c>
    </row>
    <row r="131" spans="1:5" x14ac:dyDescent="0.2">
      <c r="A131" t="s">
        <v>20</v>
      </c>
      <c r="B131" s="24" t="s">
        <v>42</v>
      </c>
      <c r="C131" s="24">
        <v>13</v>
      </c>
      <c r="D131" s="24">
        <v>2</v>
      </c>
      <c r="E131" s="26">
        <f t="shared" si="2"/>
        <v>0.15384615384615385</v>
      </c>
    </row>
    <row r="132" spans="1:5" x14ac:dyDescent="0.2">
      <c r="A132" t="s">
        <v>20</v>
      </c>
      <c r="B132" s="24" t="s">
        <v>15</v>
      </c>
      <c r="C132" s="24">
        <v>12</v>
      </c>
      <c r="D132" s="24">
        <v>0</v>
      </c>
      <c r="E132" s="26">
        <f t="shared" si="2"/>
        <v>0</v>
      </c>
    </row>
    <row r="133" spans="1:5" x14ac:dyDescent="0.2">
      <c r="A133" t="s">
        <v>20</v>
      </c>
      <c r="B133" s="24" t="s">
        <v>40</v>
      </c>
      <c r="C133" s="24">
        <v>18</v>
      </c>
      <c r="D133" s="24">
        <v>3</v>
      </c>
      <c r="E133" s="26">
        <f t="shared" si="2"/>
        <v>0.16666666666666666</v>
      </c>
    </row>
    <row r="134" spans="1:5" ht="17" thickBot="1" x14ac:dyDescent="0.25">
      <c r="A134" t="s">
        <v>20</v>
      </c>
      <c r="B134" s="24" t="s">
        <v>13</v>
      </c>
      <c r="C134" s="24">
        <v>18</v>
      </c>
      <c r="D134" s="24">
        <v>7</v>
      </c>
      <c r="E134" s="26">
        <f t="shared" si="2"/>
        <v>0.3888888888888889</v>
      </c>
    </row>
    <row r="135" spans="1:5" s="16" customFormat="1" x14ac:dyDescent="0.2">
      <c r="A135" s="16" t="s">
        <v>59</v>
      </c>
      <c r="B135" s="27" t="s">
        <v>1</v>
      </c>
      <c r="C135" s="27">
        <v>45</v>
      </c>
      <c r="D135" s="27">
        <v>5</v>
      </c>
      <c r="E135" s="28">
        <f t="shared" si="2"/>
        <v>0.1111111111111111</v>
      </c>
    </row>
    <row r="136" spans="1:5" x14ac:dyDescent="0.2">
      <c r="A136" t="s">
        <v>59</v>
      </c>
      <c r="B136" s="24" t="s">
        <v>32</v>
      </c>
      <c r="C136" s="24">
        <v>16</v>
      </c>
      <c r="D136" s="24">
        <v>0</v>
      </c>
      <c r="E136" s="26">
        <f t="shared" si="2"/>
        <v>0</v>
      </c>
    </row>
    <row r="137" spans="1:5" x14ac:dyDescent="0.2">
      <c r="A137" t="s">
        <v>59</v>
      </c>
      <c r="B137" s="24" t="s">
        <v>8</v>
      </c>
      <c r="C137" s="24">
        <v>48</v>
      </c>
      <c r="D137" s="24">
        <v>7</v>
      </c>
      <c r="E137" s="26">
        <f t="shared" si="2"/>
        <v>0.14583333333333334</v>
      </c>
    </row>
    <row r="138" spans="1:5" x14ac:dyDescent="0.2">
      <c r="A138" t="s">
        <v>59</v>
      </c>
      <c r="B138" s="24" t="s">
        <v>51</v>
      </c>
      <c r="C138" s="24">
        <v>18</v>
      </c>
      <c r="D138" s="24">
        <v>9</v>
      </c>
      <c r="E138" s="26">
        <f t="shared" si="2"/>
        <v>0.5</v>
      </c>
    </row>
    <row r="139" spans="1:5" x14ac:dyDescent="0.2">
      <c r="A139" t="s">
        <v>59</v>
      </c>
      <c r="B139" s="24" t="s">
        <v>38</v>
      </c>
      <c r="C139" s="24">
        <v>14</v>
      </c>
      <c r="D139" s="24">
        <v>5</v>
      </c>
      <c r="E139" s="26">
        <f t="shared" si="2"/>
        <v>0.35714285714285715</v>
      </c>
    </row>
    <row r="140" spans="1:5" x14ac:dyDescent="0.2">
      <c r="A140" t="s">
        <v>59</v>
      </c>
      <c r="B140" s="24" t="s">
        <v>46</v>
      </c>
      <c r="C140" s="24">
        <v>26</v>
      </c>
      <c r="D140" s="24">
        <v>10</v>
      </c>
      <c r="E140" s="26">
        <f t="shared" si="2"/>
        <v>0.38461538461538464</v>
      </c>
    </row>
    <row r="141" spans="1:5" x14ac:dyDescent="0.2">
      <c r="A141" t="s">
        <v>59</v>
      </c>
      <c r="B141" s="24" t="s">
        <v>44</v>
      </c>
      <c r="C141" s="24">
        <v>21</v>
      </c>
      <c r="D141" s="24">
        <v>6</v>
      </c>
      <c r="E141" s="26">
        <f t="shared" si="2"/>
        <v>0.2857142857142857</v>
      </c>
    </row>
    <row r="142" spans="1:5" x14ac:dyDescent="0.2">
      <c r="A142" t="s">
        <v>59</v>
      </c>
      <c r="B142" s="24" t="s">
        <v>10</v>
      </c>
      <c r="C142" s="24">
        <v>62</v>
      </c>
      <c r="D142" s="24">
        <v>14</v>
      </c>
      <c r="E142" s="26">
        <f t="shared" si="2"/>
        <v>0.22580645161290322</v>
      </c>
    </row>
    <row r="143" spans="1:5" x14ac:dyDescent="0.2">
      <c r="A143" t="s">
        <v>59</v>
      </c>
      <c r="B143" s="24" t="s">
        <v>54</v>
      </c>
      <c r="C143" s="24">
        <v>36</v>
      </c>
      <c r="D143" s="24">
        <v>19</v>
      </c>
      <c r="E143" s="26">
        <f t="shared" si="2"/>
        <v>0.52777777777777779</v>
      </c>
    </row>
    <row r="144" spans="1:5" x14ac:dyDescent="0.2">
      <c r="A144" t="s">
        <v>59</v>
      </c>
      <c r="B144" s="24" t="s">
        <v>11</v>
      </c>
      <c r="C144" s="24">
        <v>25</v>
      </c>
      <c r="D144" s="24">
        <v>8</v>
      </c>
      <c r="E144" s="26">
        <f t="shared" si="2"/>
        <v>0.32</v>
      </c>
    </row>
    <row r="145" spans="1:5" ht="17" thickBot="1" x14ac:dyDescent="0.25">
      <c r="A145" t="s">
        <v>59</v>
      </c>
      <c r="B145" s="24" t="s">
        <v>29</v>
      </c>
      <c r="C145" s="24">
        <v>11</v>
      </c>
      <c r="D145" s="24">
        <v>0</v>
      </c>
      <c r="E145" s="26">
        <f t="shared" si="2"/>
        <v>0</v>
      </c>
    </row>
    <row r="146" spans="1:5" s="16" customFormat="1" x14ac:dyDescent="0.2">
      <c r="A146" s="16" t="s">
        <v>60</v>
      </c>
      <c r="B146" s="27" t="s">
        <v>11</v>
      </c>
      <c r="C146" s="27">
        <v>346</v>
      </c>
      <c r="D146" s="27">
        <v>111</v>
      </c>
      <c r="E146" s="28">
        <f t="shared" si="2"/>
        <v>0.32080924855491327</v>
      </c>
    </row>
    <row r="147" spans="1:5" x14ac:dyDescent="0.2">
      <c r="A147" t="s">
        <v>60</v>
      </c>
      <c r="B147" s="24" t="s">
        <v>1</v>
      </c>
      <c r="C147" s="24">
        <v>20</v>
      </c>
      <c r="D147" s="24">
        <v>4</v>
      </c>
      <c r="E147" s="26">
        <f t="shared" si="2"/>
        <v>0.2</v>
      </c>
    </row>
    <row r="148" spans="1:5" ht="17" thickBot="1" x14ac:dyDescent="0.25">
      <c r="A148" t="s">
        <v>60</v>
      </c>
      <c r="B148" s="24" t="s">
        <v>51</v>
      </c>
      <c r="C148" s="24">
        <v>7</v>
      </c>
      <c r="D148" s="24">
        <v>3</v>
      </c>
      <c r="E148" s="26">
        <f t="shared" si="2"/>
        <v>0.42857142857142855</v>
      </c>
    </row>
    <row r="149" spans="1:5" s="16" customFormat="1" x14ac:dyDescent="0.2">
      <c r="A149" s="16" t="s">
        <v>61</v>
      </c>
      <c r="B149" s="27" t="s">
        <v>1</v>
      </c>
      <c r="C149" s="27">
        <v>95</v>
      </c>
      <c r="D149" s="27">
        <v>19</v>
      </c>
      <c r="E149" s="28">
        <f t="shared" si="2"/>
        <v>0.2</v>
      </c>
    </row>
    <row r="150" spans="1:5" x14ac:dyDescent="0.2">
      <c r="A150" t="s">
        <v>61</v>
      </c>
      <c r="B150" s="24" t="s">
        <v>14</v>
      </c>
      <c r="C150" s="24">
        <v>54</v>
      </c>
      <c r="D150" s="24">
        <v>8</v>
      </c>
      <c r="E150" s="26">
        <f t="shared" si="2"/>
        <v>0.14814814814814814</v>
      </c>
    </row>
    <row r="151" spans="1:5" x14ac:dyDescent="0.2">
      <c r="A151" t="s">
        <v>61</v>
      </c>
      <c r="B151" s="24" t="s">
        <v>9</v>
      </c>
      <c r="C151" s="24">
        <v>20</v>
      </c>
      <c r="D151" s="24">
        <v>3</v>
      </c>
      <c r="E151" s="26">
        <f t="shared" si="2"/>
        <v>0.15</v>
      </c>
    </row>
    <row r="152" spans="1:5" x14ac:dyDescent="0.2">
      <c r="A152" t="s">
        <v>61</v>
      </c>
      <c r="B152" s="24" t="s">
        <v>32</v>
      </c>
      <c r="C152" s="24">
        <v>109</v>
      </c>
      <c r="D152" s="24">
        <v>12</v>
      </c>
      <c r="E152" s="26">
        <f t="shared" si="2"/>
        <v>0.11009174311926606</v>
      </c>
    </row>
    <row r="153" spans="1:5" x14ac:dyDescent="0.2">
      <c r="A153" t="s">
        <v>61</v>
      </c>
      <c r="B153" s="24" t="s">
        <v>8</v>
      </c>
      <c r="C153" s="24">
        <v>71</v>
      </c>
      <c r="D153" s="24">
        <v>5</v>
      </c>
      <c r="E153" s="26">
        <f t="shared" si="2"/>
        <v>7.0422535211267609E-2</v>
      </c>
    </row>
    <row r="154" spans="1:5" x14ac:dyDescent="0.2">
      <c r="A154" t="s">
        <v>61</v>
      </c>
      <c r="B154" s="24" t="s">
        <v>35</v>
      </c>
      <c r="C154" s="24">
        <v>380</v>
      </c>
      <c r="D154" s="24">
        <v>259</v>
      </c>
      <c r="E154" s="26">
        <f t="shared" si="2"/>
        <v>0.68157894736842106</v>
      </c>
    </row>
    <row r="155" spans="1:5" x14ac:dyDescent="0.2">
      <c r="A155" t="s">
        <v>61</v>
      </c>
      <c r="B155" s="24" t="s">
        <v>31</v>
      </c>
      <c r="C155" s="24">
        <v>89</v>
      </c>
      <c r="D155" s="24">
        <v>24</v>
      </c>
      <c r="E155" s="26">
        <f t="shared" si="2"/>
        <v>0.2696629213483146</v>
      </c>
    </row>
    <row r="156" spans="1:5" x14ac:dyDescent="0.2">
      <c r="A156" t="s">
        <v>61</v>
      </c>
      <c r="B156" s="24" t="s">
        <v>41</v>
      </c>
      <c r="C156" s="24">
        <v>19</v>
      </c>
      <c r="D156" s="24">
        <v>4</v>
      </c>
      <c r="E156" s="26">
        <f t="shared" si="2"/>
        <v>0.21052631578947367</v>
      </c>
    </row>
    <row r="157" spans="1:5" x14ac:dyDescent="0.2">
      <c r="A157" t="s">
        <v>61</v>
      </c>
      <c r="B157" s="24" t="s">
        <v>39</v>
      </c>
      <c r="C157" s="24">
        <v>98</v>
      </c>
      <c r="D157" s="24">
        <v>25</v>
      </c>
      <c r="E157" s="26">
        <f t="shared" si="2"/>
        <v>0.25510204081632654</v>
      </c>
    </row>
    <row r="158" spans="1:5" ht="17" thickBot="1" x14ac:dyDescent="0.25">
      <c r="A158" t="s">
        <v>61</v>
      </c>
      <c r="B158" s="24" t="s">
        <v>13</v>
      </c>
      <c r="C158" s="24">
        <v>35</v>
      </c>
      <c r="D158" s="24">
        <v>10</v>
      </c>
      <c r="E158" s="26">
        <f t="shared" si="2"/>
        <v>0.2857142857142857</v>
      </c>
    </row>
    <row r="159" spans="1:5" s="16" customFormat="1" x14ac:dyDescent="0.2">
      <c r="A159" s="16" t="s">
        <v>17</v>
      </c>
      <c r="B159" s="27" t="s">
        <v>1</v>
      </c>
      <c r="C159" s="27">
        <v>164</v>
      </c>
      <c r="D159" s="27">
        <v>32</v>
      </c>
      <c r="E159" s="28">
        <f t="shared" si="2"/>
        <v>0.1951219512195122</v>
      </c>
    </row>
    <row r="160" spans="1:5" x14ac:dyDescent="0.2">
      <c r="A160" t="s">
        <v>17</v>
      </c>
      <c r="B160" s="24" t="s">
        <v>8</v>
      </c>
      <c r="C160" s="24">
        <v>13</v>
      </c>
      <c r="D160" s="24">
        <v>0</v>
      </c>
      <c r="E160" s="26">
        <f t="shared" si="2"/>
        <v>0</v>
      </c>
    </row>
    <row r="161" spans="1:5" x14ac:dyDescent="0.2">
      <c r="A161" t="s">
        <v>17</v>
      </c>
      <c r="B161" s="24" t="s">
        <v>14</v>
      </c>
      <c r="C161" s="24">
        <v>29</v>
      </c>
      <c r="D161" s="24">
        <v>3</v>
      </c>
      <c r="E161" s="26">
        <f t="shared" si="2"/>
        <v>0.10344827586206896</v>
      </c>
    </row>
    <row r="162" spans="1:5" x14ac:dyDescent="0.2">
      <c r="A162" t="s">
        <v>17</v>
      </c>
      <c r="B162" s="24" t="s">
        <v>32</v>
      </c>
      <c r="C162" s="24">
        <v>9</v>
      </c>
      <c r="D162" s="24">
        <v>2</v>
      </c>
      <c r="E162" s="26">
        <f t="shared" si="2"/>
        <v>0.22222222222222221</v>
      </c>
    </row>
    <row r="163" spans="1:5" x14ac:dyDescent="0.2">
      <c r="A163" t="s">
        <v>17</v>
      </c>
      <c r="B163" s="24" t="s">
        <v>39</v>
      </c>
      <c r="C163" s="24">
        <v>41</v>
      </c>
      <c r="D163" s="24">
        <v>21</v>
      </c>
      <c r="E163" s="26">
        <f t="shared" si="2"/>
        <v>0.51219512195121952</v>
      </c>
    </row>
    <row r="164" spans="1:5" x14ac:dyDescent="0.2">
      <c r="A164" t="s">
        <v>17</v>
      </c>
      <c r="B164" s="24" t="s">
        <v>41</v>
      </c>
      <c r="C164" s="24">
        <v>370</v>
      </c>
      <c r="D164" s="24">
        <v>193</v>
      </c>
      <c r="E164" s="26">
        <f t="shared" si="2"/>
        <v>0.52162162162162162</v>
      </c>
    </row>
    <row r="165" spans="1:5" x14ac:dyDescent="0.2">
      <c r="A165" t="s">
        <v>17</v>
      </c>
      <c r="B165" s="24" t="s">
        <v>35</v>
      </c>
      <c r="C165" s="24">
        <v>92</v>
      </c>
      <c r="D165" s="24">
        <v>55</v>
      </c>
      <c r="E165" s="26">
        <f t="shared" si="2"/>
        <v>0.59782608695652173</v>
      </c>
    </row>
    <row r="166" spans="1:5" x14ac:dyDescent="0.2">
      <c r="A166" t="s">
        <v>17</v>
      </c>
      <c r="B166" s="24" t="s">
        <v>31</v>
      </c>
      <c r="C166" s="24">
        <v>165</v>
      </c>
      <c r="D166" s="24">
        <v>93</v>
      </c>
      <c r="E166" s="26">
        <f t="shared" si="2"/>
        <v>0.5636363636363636</v>
      </c>
    </row>
    <row r="167" spans="1:5" x14ac:dyDescent="0.2">
      <c r="A167" t="s">
        <v>17</v>
      </c>
      <c r="B167" s="24" t="s">
        <v>43</v>
      </c>
      <c r="C167" s="24">
        <v>56</v>
      </c>
      <c r="D167" s="24">
        <v>32</v>
      </c>
      <c r="E167" s="26">
        <f t="shared" si="2"/>
        <v>0.5714285714285714</v>
      </c>
    </row>
    <row r="168" spans="1:5" x14ac:dyDescent="0.2">
      <c r="A168" t="s">
        <v>17</v>
      </c>
      <c r="B168" s="24" t="s">
        <v>45</v>
      </c>
      <c r="C168" s="24">
        <v>71</v>
      </c>
      <c r="D168" s="24">
        <v>29</v>
      </c>
      <c r="E168" s="26">
        <f t="shared" si="2"/>
        <v>0.40845070422535212</v>
      </c>
    </row>
    <row r="169" spans="1:5" x14ac:dyDescent="0.2">
      <c r="A169" t="s">
        <v>17</v>
      </c>
      <c r="B169" s="24" t="s">
        <v>46</v>
      </c>
      <c r="C169" s="24">
        <v>31</v>
      </c>
      <c r="D169" s="24">
        <v>23</v>
      </c>
      <c r="E169" s="26">
        <f t="shared" si="2"/>
        <v>0.74193548387096775</v>
      </c>
    </row>
    <row r="170" spans="1:5" x14ac:dyDescent="0.2">
      <c r="A170" t="s">
        <v>17</v>
      </c>
      <c r="B170" s="24" t="s">
        <v>47</v>
      </c>
      <c r="C170" s="24">
        <v>8</v>
      </c>
      <c r="D170" s="24">
        <v>4</v>
      </c>
      <c r="E170" s="26">
        <f t="shared" si="2"/>
        <v>0.5</v>
      </c>
    </row>
    <row r="171" spans="1:5" x14ac:dyDescent="0.2">
      <c r="A171" t="s">
        <v>17</v>
      </c>
      <c r="B171" s="24" t="s">
        <v>37</v>
      </c>
      <c r="C171" s="24">
        <v>34</v>
      </c>
      <c r="D171" s="24">
        <v>10</v>
      </c>
      <c r="E171" s="26">
        <f t="shared" si="2"/>
        <v>0.29411764705882354</v>
      </c>
    </row>
    <row r="172" spans="1:5" ht="17" thickBot="1" x14ac:dyDescent="0.25">
      <c r="A172" t="s">
        <v>17</v>
      </c>
      <c r="B172" s="24" t="s">
        <v>62</v>
      </c>
      <c r="C172" s="24">
        <v>38</v>
      </c>
      <c r="D172" s="24">
        <v>19</v>
      </c>
      <c r="E172" s="26">
        <f t="shared" si="2"/>
        <v>0.5</v>
      </c>
    </row>
    <row r="173" spans="1:5" s="16" customFormat="1" x14ac:dyDescent="0.2">
      <c r="A173" s="16" t="s">
        <v>63</v>
      </c>
      <c r="B173" s="27" t="s">
        <v>1</v>
      </c>
      <c r="C173" s="27">
        <v>21</v>
      </c>
      <c r="D173" s="27">
        <v>1</v>
      </c>
      <c r="E173" s="28">
        <f t="shared" si="2"/>
        <v>4.7619047619047616E-2</v>
      </c>
    </row>
    <row r="174" spans="1:5" x14ac:dyDescent="0.2">
      <c r="A174" t="s">
        <v>63</v>
      </c>
      <c r="B174" s="24" t="s">
        <v>14</v>
      </c>
      <c r="C174" s="24">
        <v>32</v>
      </c>
      <c r="D174" s="24">
        <v>6</v>
      </c>
      <c r="E174" s="26">
        <f t="shared" si="2"/>
        <v>0.1875</v>
      </c>
    </row>
    <row r="175" spans="1:5" x14ac:dyDescent="0.2">
      <c r="A175" t="s">
        <v>63</v>
      </c>
      <c r="B175" s="24" t="s">
        <v>32</v>
      </c>
      <c r="C175" s="24">
        <v>172</v>
      </c>
      <c r="D175" s="24">
        <v>26</v>
      </c>
      <c r="E175" s="26">
        <f t="shared" si="2"/>
        <v>0.15116279069767441</v>
      </c>
    </row>
    <row r="176" spans="1:5" x14ac:dyDescent="0.2">
      <c r="A176" t="s">
        <v>63</v>
      </c>
      <c r="B176" s="24" t="s">
        <v>35</v>
      </c>
      <c r="C176" s="24">
        <v>347</v>
      </c>
      <c r="D176" s="24">
        <v>239</v>
      </c>
      <c r="E176" s="26">
        <f t="shared" si="2"/>
        <v>0.68876080691642649</v>
      </c>
    </row>
    <row r="177" spans="1:5" x14ac:dyDescent="0.2">
      <c r="A177" t="s">
        <v>63</v>
      </c>
      <c r="B177" s="24" t="s">
        <v>31</v>
      </c>
      <c r="C177" s="24">
        <v>75</v>
      </c>
      <c r="D177" s="24">
        <v>29</v>
      </c>
      <c r="E177" s="26">
        <f t="shared" si="2"/>
        <v>0.38666666666666666</v>
      </c>
    </row>
    <row r="178" spans="1:5" x14ac:dyDescent="0.2">
      <c r="A178" t="s">
        <v>63</v>
      </c>
      <c r="B178" s="24" t="s">
        <v>13</v>
      </c>
      <c r="C178" s="24">
        <v>31</v>
      </c>
      <c r="D178" s="24">
        <v>3</v>
      </c>
      <c r="E178" s="26">
        <f t="shared" si="2"/>
        <v>9.6774193548387094E-2</v>
      </c>
    </row>
    <row r="179" spans="1:5" x14ac:dyDescent="0.2">
      <c r="A179" t="s">
        <v>63</v>
      </c>
      <c r="B179" s="24" t="s">
        <v>9</v>
      </c>
      <c r="C179" s="24">
        <v>7</v>
      </c>
      <c r="D179" s="24">
        <v>1</v>
      </c>
      <c r="E179" s="26">
        <f t="shared" si="2"/>
        <v>0.14285714285714285</v>
      </c>
    </row>
    <row r="180" spans="1:5" x14ac:dyDescent="0.2">
      <c r="A180" t="s">
        <v>63</v>
      </c>
      <c r="B180" s="24" t="s">
        <v>15</v>
      </c>
      <c r="C180" s="24">
        <v>33</v>
      </c>
      <c r="D180" s="24">
        <v>5</v>
      </c>
      <c r="E180" s="26">
        <f t="shared" si="2"/>
        <v>0.15151515151515152</v>
      </c>
    </row>
    <row r="181" spans="1:5" ht="17" thickBot="1" x14ac:dyDescent="0.25">
      <c r="A181" t="s">
        <v>63</v>
      </c>
      <c r="B181" s="24" t="s">
        <v>56</v>
      </c>
      <c r="C181" s="24">
        <v>14</v>
      </c>
      <c r="D181" s="24">
        <v>0</v>
      </c>
      <c r="E181" s="26">
        <f t="shared" si="2"/>
        <v>0</v>
      </c>
    </row>
    <row r="182" spans="1:5" s="16" customFormat="1" x14ac:dyDescent="0.2">
      <c r="A182" s="16" t="s">
        <v>64</v>
      </c>
      <c r="B182" s="27" t="s">
        <v>39</v>
      </c>
      <c r="C182" s="27">
        <v>135</v>
      </c>
      <c r="D182" s="27">
        <v>62</v>
      </c>
      <c r="E182" s="28">
        <f t="shared" si="2"/>
        <v>0.45925925925925926</v>
      </c>
    </row>
    <row r="183" spans="1:5" ht="17" thickBot="1" x14ac:dyDescent="0.25">
      <c r="A183" t="s">
        <v>64</v>
      </c>
      <c r="B183" s="24" t="s">
        <v>41</v>
      </c>
      <c r="C183" s="24">
        <v>82</v>
      </c>
      <c r="D183" s="24">
        <v>30</v>
      </c>
      <c r="E183" s="26">
        <f t="shared" si="2"/>
        <v>0.36585365853658536</v>
      </c>
    </row>
    <row r="184" spans="1:5" s="16" customFormat="1" x14ac:dyDescent="0.2">
      <c r="A184" s="16" t="s">
        <v>28</v>
      </c>
      <c r="B184" s="27" t="s">
        <v>35</v>
      </c>
      <c r="C184" s="27">
        <v>31</v>
      </c>
      <c r="D184" s="27">
        <v>16</v>
      </c>
      <c r="E184" s="28">
        <f t="shared" si="2"/>
        <v>0.5161290322580645</v>
      </c>
    </row>
    <row r="185" spans="1:5" x14ac:dyDescent="0.2">
      <c r="A185" t="s">
        <v>28</v>
      </c>
      <c r="B185" s="24" t="s">
        <v>30</v>
      </c>
      <c r="C185" s="24">
        <v>72</v>
      </c>
      <c r="D185" s="24">
        <v>9</v>
      </c>
      <c r="E185" s="26">
        <f t="shared" si="2"/>
        <v>0.125</v>
      </c>
    </row>
    <row r="186" spans="1:5" s="29" customFormat="1" ht="17" thickBot="1" x14ac:dyDescent="0.25">
      <c r="A186" s="29" t="s">
        <v>28</v>
      </c>
      <c r="B186" s="30" t="s">
        <v>43</v>
      </c>
      <c r="C186" s="30">
        <v>36</v>
      </c>
      <c r="D186" s="30">
        <v>15</v>
      </c>
      <c r="E186" s="31">
        <f t="shared" si="2"/>
        <v>0.41666666666666669</v>
      </c>
    </row>
    <row r="187" spans="1:5" ht="17" thickBot="1" x14ac:dyDescent="0.25">
      <c r="A187" t="s">
        <v>19</v>
      </c>
      <c r="B187" s="24" t="s">
        <v>14</v>
      </c>
      <c r="C187" s="24">
        <v>154</v>
      </c>
      <c r="D187" s="24">
        <v>34</v>
      </c>
      <c r="E187" s="26">
        <f t="shared" si="2"/>
        <v>0.22077922077922077</v>
      </c>
    </row>
    <row r="188" spans="1:5" s="16" customFormat="1" x14ac:dyDescent="0.2">
      <c r="A188" s="16" t="s">
        <v>26</v>
      </c>
      <c r="B188" s="27" t="s">
        <v>8</v>
      </c>
      <c r="C188" s="27">
        <v>58</v>
      </c>
      <c r="D188" s="27">
        <v>16</v>
      </c>
      <c r="E188" s="28">
        <f t="shared" si="2"/>
        <v>0.27586206896551724</v>
      </c>
    </row>
    <row r="189" spans="1:5" x14ac:dyDescent="0.2">
      <c r="A189" t="s">
        <v>26</v>
      </c>
      <c r="B189" s="24" t="s">
        <v>1</v>
      </c>
      <c r="C189" s="24">
        <v>70</v>
      </c>
      <c r="D189" s="24">
        <v>29</v>
      </c>
      <c r="E189" s="26">
        <f t="shared" si="2"/>
        <v>0.41428571428571431</v>
      </c>
    </row>
    <row r="190" spans="1:5" x14ac:dyDescent="0.2">
      <c r="A190" t="s">
        <v>26</v>
      </c>
      <c r="B190" s="24" t="s">
        <v>30</v>
      </c>
      <c r="C190" s="24">
        <v>56</v>
      </c>
      <c r="D190" s="24">
        <v>16</v>
      </c>
      <c r="E190" s="26">
        <f t="shared" si="2"/>
        <v>0.2857142857142857</v>
      </c>
    </row>
    <row r="191" spans="1:5" x14ac:dyDescent="0.2">
      <c r="A191" t="s">
        <v>26</v>
      </c>
      <c r="B191" s="24" t="s">
        <v>29</v>
      </c>
      <c r="C191" s="24">
        <v>143</v>
      </c>
      <c r="D191" s="24">
        <v>46</v>
      </c>
      <c r="E191" s="26">
        <f t="shared" ref="E191:E199" si="3">D191/C191</f>
        <v>0.32167832167832167</v>
      </c>
    </row>
    <row r="192" spans="1:5" x14ac:dyDescent="0.2">
      <c r="A192" t="s">
        <v>26</v>
      </c>
      <c r="B192" s="24" t="s">
        <v>52</v>
      </c>
      <c r="C192" s="24">
        <v>22</v>
      </c>
      <c r="D192" s="24">
        <v>6</v>
      </c>
      <c r="E192" s="26">
        <f t="shared" si="3"/>
        <v>0.27272727272727271</v>
      </c>
    </row>
    <row r="193" spans="1:5" x14ac:dyDescent="0.2">
      <c r="A193" t="s">
        <v>26</v>
      </c>
      <c r="B193" s="24" t="s">
        <v>35</v>
      </c>
      <c r="C193" s="24">
        <v>19</v>
      </c>
      <c r="D193" s="24">
        <v>8</v>
      </c>
      <c r="E193" s="26">
        <f t="shared" si="3"/>
        <v>0.42105263157894735</v>
      </c>
    </row>
    <row r="194" spans="1:5" x14ac:dyDescent="0.2">
      <c r="A194" t="s">
        <v>26</v>
      </c>
      <c r="B194" s="24" t="s">
        <v>51</v>
      </c>
      <c r="C194" s="24">
        <v>32</v>
      </c>
      <c r="D194" s="24">
        <v>15</v>
      </c>
      <c r="E194" s="26">
        <f t="shared" si="3"/>
        <v>0.46875</v>
      </c>
    </row>
    <row r="195" spans="1:5" x14ac:dyDescent="0.2">
      <c r="A195" t="s">
        <v>26</v>
      </c>
      <c r="B195" s="24" t="s">
        <v>44</v>
      </c>
      <c r="C195" s="24">
        <v>11</v>
      </c>
      <c r="D195" s="24">
        <v>4</v>
      </c>
      <c r="E195" s="26">
        <f t="shared" si="3"/>
        <v>0.36363636363636365</v>
      </c>
    </row>
    <row r="196" spans="1:5" x14ac:dyDescent="0.2">
      <c r="A196" t="s">
        <v>26</v>
      </c>
      <c r="B196" s="24" t="s">
        <v>14</v>
      </c>
      <c r="C196" s="24">
        <v>8</v>
      </c>
      <c r="D196" s="24">
        <v>1</v>
      </c>
      <c r="E196" s="26">
        <f t="shared" si="3"/>
        <v>0.125</v>
      </c>
    </row>
    <row r="197" spans="1:5" x14ac:dyDescent="0.2">
      <c r="A197" t="s">
        <v>26</v>
      </c>
      <c r="B197" s="24" t="s">
        <v>13</v>
      </c>
      <c r="C197" s="24">
        <v>11</v>
      </c>
      <c r="D197" s="24">
        <v>2</v>
      </c>
      <c r="E197" s="26">
        <f t="shared" si="3"/>
        <v>0.18181818181818182</v>
      </c>
    </row>
    <row r="198" spans="1:5" x14ac:dyDescent="0.2">
      <c r="A198" t="s">
        <v>26</v>
      </c>
      <c r="B198" s="24" t="s">
        <v>56</v>
      </c>
      <c r="C198" s="24">
        <v>8</v>
      </c>
      <c r="D198" s="24">
        <v>3</v>
      </c>
      <c r="E198" s="26">
        <f t="shared" si="3"/>
        <v>0.375</v>
      </c>
    </row>
    <row r="199" spans="1:5" s="29" customFormat="1" ht="17" thickBot="1" x14ac:dyDescent="0.25">
      <c r="A199" s="29" t="s">
        <v>26</v>
      </c>
      <c r="B199" s="30" t="s">
        <v>40</v>
      </c>
      <c r="C199" s="30">
        <v>16</v>
      </c>
      <c r="D199" s="30">
        <v>15</v>
      </c>
      <c r="E199" s="31">
        <f t="shared" si="3"/>
        <v>0.9375</v>
      </c>
    </row>
  </sheetData>
  <phoneticPr fontId="2" type="noConversion"/>
  <conditionalFormatting sqref="E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NCI1970-meta - response rate</vt:lpstr>
      <vt:lpstr>NCI1970-meta - total responders</vt:lpstr>
      <vt:lpstr>NCI1970-meta - total patients</vt:lpstr>
      <vt:lpstr>NCI1970 - total patients</vt:lpstr>
      <vt:lpstr>drug-meta</vt:lpstr>
      <vt:lpstr>cancer-meta</vt:lpstr>
      <vt:lpstr>NCI 1955-70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Eugene Douglass</cp:lastModifiedBy>
  <dcterms:created xsi:type="dcterms:W3CDTF">2020-10-20T12:31:48Z</dcterms:created>
  <dcterms:modified xsi:type="dcterms:W3CDTF">2025-10-25T16:57:22Z</dcterms:modified>
</cp:coreProperties>
</file>